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태인\Downloads\"/>
    </mc:Choice>
  </mc:AlternateContent>
  <xr:revisionPtr revIDLastSave="0" documentId="8_{6303DBE7-5532-4A3F-8DCE-5E74EE5F1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배합비율표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E11" i="1"/>
</calcChain>
</file>

<file path=xl/sharedStrings.xml><?xml version="1.0" encoding="utf-8"?>
<sst xmlns="http://schemas.openxmlformats.org/spreadsheetml/2006/main" count="37" uniqueCount="37">
  <si>
    <t>술지게미 오트밀 크런치 에너지바 배합비율표</t>
  </si>
  <si>
    <t>기준 원료: 완전건조 술지게미 1,000g (1.0kg) | 권장 배합 비율 (오트밀 50% : 지게미 15% : 견과 15% : 바인더 20%)</t>
  </si>
  <si>
    <t>구분</t>
  </si>
  <si>
    <t>재료명</t>
  </si>
  <si>
    <t>비율 (%)</t>
  </si>
  <si>
    <t>중량 (g)</t>
  </si>
  <si>
    <t>중량 (kg)</t>
  </si>
  <si>
    <t>권장 재료 및 상세 설명</t>
  </si>
  <si>
    <t>건식 베이스 (기준)</t>
  </si>
  <si>
    <t>건조 술지게미</t>
  </si>
  <si>
    <t>완전 건조 후 거칠게 분쇄한 주박 분말 (구수한 향미 및 단백질·식이섬유 제공)</t>
  </si>
  <si>
    <t>건식 베이스</t>
  </si>
  <si>
    <t>오트밀 (압착귀리)</t>
  </si>
  <si>
    <t>롤드 오츠(Rolled Oats) 권장 (식감과 구조 유지)</t>
  </si>
  <si>
    <t>부재료</t>
  </si>
  <si>
    <t>견과 및 씨앗류</t>
  </si>
  <si>
    <t>아몬드 슬라이스, 호두 분태, 호박씨, 해바라기씨 등 (기호에 따라 건크랜베리 소량 추가 가능)</t>
  </si>
  <si>
    <t>바인더 (당류)</t>
  </si>
  <si>
    <t>알룰로스/조청/물엿</t>
  </si>
  <si>
    <t>바삭한 크런치를 위해 조청/알룰로스 시럽 추천 (약간 가열하여 유동성 확보 후 투입)</t>
  </si>
  <si>
    <t>바인더 (유지류)</t>
  </si>
  <si>
    <t>식물성 오일 (코코넛/현미유)</t>
  </si>
  <si>
    <t>표면 크리스피 효과를 위한 필수 유지 (식용유/카놀라유/녹인 버터 대체 가능)</t>
  </si>
  <si>
    <t>합계</t>
  </si>
  <si>
    <t>-</t>
  </si>
  <si>
    <t>약 6.67kg 배치 (1회 대용량 기준)</t>
  </si>
  <si>
    <t>예상 생산 수량 및 제조 공정 가이드</t>
  </si>
  <si>
    <t>예상 산출량</t>
  </si>
  <si>
    <t>완제 에너지바 1개당 40g 기준 약 165~166개 생산 가능 (35g 소형바 기준 약 190개)</t>
  </si>
  <si>
    <t>혼합 단계</t>
  </si>
  <si>
    <t>1. 마른 재료(오트밀+지게미+견과)를 골고루 건식 혼합
2. 바인더(당류+오일)를 40~50°C로 미온 데워 점도를 묽게 한 후 마른 재료에 투입 및 골고루 코팅</t>
  </si>
  <si>
    <t>성형 팁</t>
  </si>
  <si>
    <t>오븐 트레이에 종이호일을 깔고 반죽을 균일하게 펼친 뒤 롤러나 평평한 바닥으로 강하게 압착 (압착 강도가 결착력 결정)</t>
  </si>
  <si>
    <t>소성(굽기)</t>
  </si>
  <si>
    <t>160°C 예열 오븐 / 에어프라이어에서 15~18분 소성 (지게미의 미세 분말이 탈 수 있으므로 170°C 초과 주의)</t>
  </si>
  <si>
    <t>커팅 &amp; 건조</t>
  </si>
  <si>
    <t>오븐에서 꺼낸 후 10~15분간 미지근하게 식힌 뒤 칼로 재단 -&gt; 식힘망에 펼쳐 완전 냉각 (수분이 날아가며 바삭해짐)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</si>
</sst>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9">
    <font>
      <sz val="11"/>
      <color theme="1"/>
      <name val="맑은 고딕"/>
      <family val="2"/>
      <scheme val="minor"/>
    </font>
    <font>
      <b/>
      <sz val="16"/>
      <color rgb="FF1A202C"/>
      <name val="Malgun Gothic"/>
      <family val="3"/>
      <charset val="129"/>
    </font>
    <font>
      <i/>
      <sz val="9"/>
      <color rgb="FF718096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color rgb="FF2D3748"/>
      <name val="Malgun Gothic"/>
      <family val="3"/>
      <charset val="129"/>
    </font>
    <font>
      <b/>
      <sz val="11"/>
      <color rgb="FF1A202C"/>
      <name val="Malgun Gothic"/>
      <family val="3"/>
      <charset val="129"/>
    </font>
    <font>
      <b/>
      <sz val="11"/>
      <color rgb="FF2D3748"/>
      <name val="Malgun Gothic"/>
      <family val="3"/>
      <charset val="129"/>
    </font>
    <font>
      <b/>
      <sz val="10"/>
      <color rgb="FF2D3748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  <fill>
      <patternFill patternType="solid">
        <fgColor rgb="FFF7FAFC"/>
        <bgColor rgb="FFF7FAFC"/>
      </patternFill>
    </fill>
    <fill>
      <patternFill patternType="solid">
        <fgColor rgb="FFE2E8F0"/>
        <bgColor rgb="FFE2E8F0"/>
      </patternFill>
    </fill>
    <fill>
      <patternFill patternType="solid">
        <fgColor rgb="FFEDF2F7"/>
        <bgColor rgb="FFEDF2F7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718096"/>
      </top>
      <bottom style="double">
        <color rgb="FF1A202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6" fillId="5" borderId="0" xfId="0" applyFont="1" applyFill="1" applyAlignment="1">
      <alignment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workbookViewId="0">
      <selection activeCell="K11" sqref="K11:K16"/>
    </sheetView>
  </sheetViews>
  <sheetFormatPr defaultRowHeight="16.5"/>
  <cols>
    <col min="1" max="1" width="3" customWidth="1"/>
    <col min="2" max="2" width="18" customWidth="1"/>
    <col min="3" max="3" width="24" customWidth="1"/>
    <col min="4" max="4" width="12" customWidth="1"/>
    <col min="5" max="5" width="9.5" bestFit="1" customWidth="1"/>
    <col min="6" max="6" width="14" customWidth="1"/>
    <col min="7" max="7" width="76.125" bestFit="1" customWidth="1"/>
  </cols>
  <sheetData>
    <row r="2" spans="2:7" ht="26.25">
      <c r="B2" s="25" t="s">
        <v>0</v>
      </c>
      <c r="C2" s="24"/>
      <c r="D2" s="24"/>
      <c r="E2" s="24"/>
      <c r="F2" s="24"/>
      <c r="G2" s="24"/>
    </row>
    <row r="3" spans="2:7">
      <c r="B3" s="23" t="s">
        <v>1</v>
      </c>
      <c r="C3" s="24"/>
      <c r="D3" s="24"/>
      <c r="E3" s="24"/>
      <c r="F3" s="24"/>
      <c r="G3" s="24"/>
    </row>
    <row r="5" spans="2:7" ht="24.95" customHeigh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21.95" customHeight="1">
      <c r="B6" s="2" t="s">
        <v>8</v>
      </c>
      <c r="C6" s="3" t="s">
        <v>9</v>
      </c>
      <c r="D6" s="4">
        <v>0.15</v>
      </c>
      <c r="E6" s="5">
        <v>1000</v>
      </c>
      <c r="F6" s="6">
        <v>1</v>
      </c>
      <c r="G6" s="3" t="s">
        <v>10</v>
      </c>
    </row>
    <row r="7" spans="2:7" ht="21.95" customHeight="1">
      <c r="B7" s="7" t="s">
        <v>11</v>
      </c>
      <c r="C7" s="8" t="s">
        <v>12</v>
      </c>
      <c r="D7" s="9">
        <v>0.5</v>
      </c>
      <c r="E7" s="10">
        <v>3330</v>
      </c>
      <c r="F7" s="11">
        <v>3.33</v>
      </c>
      <c r="G7" s="8" t="s">
        <v>13</v>
      </c>
    </row>
    <row r="8" spans="2:7" ht="21.95" customHeight="1">
      <c r="B8" s="2" t="s">
        <v>14</v>
      </c>
      <c r="C8" s="3" t="s">
        <v>15</v>
      </c>
      <c r="D8" s="4">
        <v>0.15</v>
      </c>
      <c r="E8" s="5">
        <v>1000</v>
      </c>
      <c r="F8" s="6">
        <v>1</v>
      </c>
      <c r="G8" s="3" t="s">
        <v>16</v>
      </c>
    </row>
    <row r="9" spans="2:7" ht="21.95" customHeight="1">
      <c r="B9" s="7" t="s">
        <v>17</v>
      </c>
      <c r="C9" s="8" t="s">
        <v>18</v>
      </c>
      <c r="D9" s="9">
        <v>0.15</v>
      </c>
      <c r="E9" s="10">
        <v>1000</v>
      </c>
      <c r="F9" s="11">
        <v>1</v>
      </c>
      <c r="G9" s="8" t="s">
        <v>19</v>
      </c>
    </row>
    <row r="10" spans="2:7" ht="21.95" customHeight="1">
      <c r="B10" s="2" t="s">
        <v>20</v>
      </c>
      <c r="C10" s="3" t="s">
        <v>21</v>
      </c>
      <c r="D10" s="4">
        <v>0.05</v>
      </c>
      <c r="E10" s="5">
        <v>340</v>
      </c>
      <c r="F10" s="6">
        <v>0.34</v>
      </c>
      <c r="G10" s="3" t="s">
        <v>22</v>
      </c>
    </row>
    <row r="11" spans="2:7" ht="24.95" customHeight="1">
      <c r="B11" s="12" t="s">
        <v>23</v>
      </c>
      <c r="C11" s="12" t="s">
        <v>24</v>
      </c>
      <c r="D11" s="13">
        <f>SUM(D6:D10)</f>
        <v>1</v>
      </c>
      <c r="E11" s="14">
        <f>SUM(E6:E10)</f>
        <v>6670</v>
      </c>
      <c r="F11" s="15">
        <f>SUM(F6:F10)</f>
        <v>6.67</v>
      </c>
      <c r="G11" s="16" t="s">
        <v>25</v>
      </c>
    </row>
    <row r="13" spans="2:7" ht="24" customHeight="1">
      <c r="B13" s="26" t="s">
        <v>26</v>
      </c>
      <c r="C13" s="24"/>
      <c r="D13" s="24"/>
      <c r="E13" s="24"/>
      <c r="F13" s="24"/>
      <c r="G13" s="24"/>
    </row>
    <row r="14" spans="2:7" ht="21.95" customHeight="1">
      <c r="B14" s="17" t="s">
        <v>27</v>
      </c>
      <c r="C14" s="19" t="s">
        <v>28</v>
      </c>
      <c r="D14" s="20"/>
      <c r="E14" s="20"/>
      <c r="F14" s="20"/>
      <c r="G14" s="20"/>
    </row>
    <row r="15" spans="2:7" ht="27.95" customHeight="1">
      <c r="B15" s="18" t="s">
        <v>29</v>
      </c>
      <c r="C15" s="21" t="s">
        <v>30</v>
      </c>
      <c r="D15" s="22"/>
      <c r="E15" s="22"/>
      <c r="F15" s="22"/>
      <c r="G15" s="22"/>
    </row>
    <row r="16" spans="2:7" ht="21.95" customHeight="1">
      <c r="B16" s="17" t="s">
        <v>31</v>
      </c>
      <c r="C16" s="19" t="s">
        <v>32</v>
      </c>
      <c r="D16" s="20"/>
      <c r="E16" s="20"/>
      <c r="F16" s="20"/>
      <c r="G16" s="20"/>
    </row>
    <row r="17" spans="2:7" ht="21.95" customHeight="1">
      <c r="B17" s="18" t="s">
        <v>33</v>
      </c>
      <c r="C17" s="21" t="s">
        <v>34</v>
      </c>
      <c r="D17" s="22"/>
      <c r="E17" s="22"/>
      <c r="F17" s="22"/>
      <c r="G17" s="22"/>
    </row>
    <row r="18" spans="2:7" ht="21.95" customHeight="1">
      <c r="B18" s="17" t="s">
        <v>35</v>
      </c>
      <c r="C18" s="19" t="s">
        <v>36</v>
      </c>
      <c r="D18" s="20"/>
      <c r="E18" s="20"/>
      <c r="F18" s="20"/>
      <c r="G18" s="20"/>
    </row>
  </sheetData>
  <mergeCells count="8">
    <mergeCell ref="C18:G18"/>
    <mergeCell ref="C17:G17"/>
    <mergeCell ref="B3:G3"/>
    <mergeCell ref="B2:G2"/>
    <mergeCell ref="C16:G16"/>
    <mergeCell ref="C15:G15"/>
    <mergeCell ref="B13:G13"/>
    <mergeCell ref="C14:G1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A736-62BF-4347-A5E2-9ADF731D9951}">
  <dimension ref="A1"/>
  <sheetViews>
    <sheetView workbookViewId="0">
      <selection activeCell="B3" sqref="B3"/>
    </sheetView>
  </sheetViews>
  <sheetFormatPr defaultRowHeight="16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배합비율표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태인 이</cp:lastModifiedBy>
  <dcterms:created xsi:type="dcterms:W3CDTF">2026-09-17T11:14:29Z</dcterms:created>
  <dcterms:modified xsi:type="dcterms:W3CDTF">2026-09-22T13:14:12Z</dcterms:modified>
</cp:coreProperties>
</file>