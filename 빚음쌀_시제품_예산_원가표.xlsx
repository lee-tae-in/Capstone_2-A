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배합표" sheetId="2" state="visible" r:id="rId4"/>
    <sheet name="주문목록" sheetId="3" state="visible" r:id="rId5"/>
    <sheet name="원가표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Noto Sans CJK SC"/>
            <family val="2"/>
          </rPr>
          <t xml:space="preserve">가정값</t>
        </r>
        <r>
          <rPr>
            <sz val="10"/>
            <rFont val="Arial"/>
            <family val="2"/>
          </rPr>
          <t xml:space="preserve">: </t>
        </r>
        <r>
          <rPr>
            <sz val="10"/>
            <rFont val="Noto Sans CJK SC"/>
            <family val="2"/>
          </rPr>
          <t xml:space="preserve">조청 수분 증발 등으로 원료 대비 약 </t>
        </r>
        <r>
          <rPr>
            <sz val="10"/>
            <rFont val="Arial"/>
            <family val="2"/>
          </rPr>
          <t xml:space="preserve">10% </t>
        </r>
        <r>
          <rPr>
            <sz val="10"/>
            <rFont val="Noto Sans CJK SC"/>
            <family val="2"/>
          </rPr>
          <t xml:space="preserve">감량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 xml:space="preserve">첫 시제품에서 실측 후 수정</t>
        </r>
        <r>
          <rPr>
            <sz val="10"/>
            <rFont val="Arial"/>
            <family val="2"/>
          </rPr>
          <t xml:space="preserve">.</t>
        </r>
      </text>
    </comment>
    <comment ref="C8" authorId="0">
      <text>
        <r>
          <rPr>
            <sz val="10"/>
            <rFont val="Noto Sans CJK SC"/>
            <family val="2"/>
          </rPr>
          <t xml:space="preserve">시식 테스트 목표 </t>
        </r>
        <r>
          <rPr>
            <sz val="10"/>
            <rFont val="Arial"/>
            <family val="2"/>
          </rPr>
          <t xml:space="preserve">30</t>
        </r>
        <r>
          <rPr>
            <sz val="10"/>
            <rFont val="Noto Sans CJK SC"/>
            <family val="2"/>
          </rPr>
          <t xml:space="preserve">명 </t>
        </r>
        <r>
          <rPr>
            <sz val="10"/>
            <rFont val="Arial"/>
            <family val="2"/>
          </rPr>
          <t xml:space="preserve">+ </t>
        </r>
        <r>
          <rPr>
            <sz val="10"/>
            <rFont val="Noto Sans CJK SC"/>
            <family val="2"/>
          </rPr>
          <t xml:space="preserve">여유 </t>
        </r>
        <r>
          <rPr>
            <sz val="10"/>
            <rFont val="Arial"/>
            <family val="2"/>
          </rPr>
          <t xml:space="preserve">10</t>
        </r>
        <r>
          <rPr>
            <sz val="10"/>
            <rFont val="Noto Sans CJK SC"/>
            <family val="2"/>
          </rPr>
          <t xml:space="preserve">명</t>
        </r>
      </text>
    </comment>
  </commentList>
</comments>
</file>

<file path=xl/sharedStrings.xml><?xml version="1.0" encoding="utf-8"?>
<sst xmlns="http://schemas.openxmlformats.org/spreadsheetml/2006/main" count="230" uniqueCount="159">
  <si>
    <r>
      <rPr>
        <b val="true"/>
        <sz val="14"/>
        <rFont val="Noto Sans CJK SC"/>
        <family val="2"/>
      </rPr>
      <t xml:space="preserve">빚음 쌀 그래놀라 시제품 예산</t>
    </r>
    <r>
      <rPr>
        <b val="true"/>
        <sz val="14"/>
        <rFont val="Arial"/>
        <family val="0"/>
        <charset val="1"/>
      </rPr>
      <t xml:space="preserve">·</t>
    </r>
    <r>
      <rPr>
        <b val="true"/>
        <sz val="14"/>
        <rFont val="Noto Sans CJK SC"/>
        <family val="2"/>
      </rPr>
      <t xml:space="preserve">원가표</t>
    </r>
  </si>
  <si>
    <t xml:space="preserve">작성일</t>
  </si>
  <si>
    <r>
      <rPr>
        <sz val="10"/>
        <rFont val="Arial"/>
        <family val="0"/>
        <charset val="1"/>
      </rPr>
      <t xml:space="preserve">2026-10-03 (</t>
    </r>
    <r>
      <rPr>
        <sz val="10"/>
        <rFont val="Noto Sans CJK SC"/>
        <family val="2"/>
      </rPr>
      <t xml:space="preserve">가격은 같은 날 온라인 조사 기준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주문 전 재확인 필요</t>
    </r>
    <r>
      <rPr>
        <sz val="10"/>
        <rFont val="Arial"/>
        <family val="0"/>
        <charset val="1"/>
      </rPr>
      <t xml:space="preserve">)</t>
    </r>
  </si>
  <si>
    <t xml:space="preserve">시트 구성</t>
  </si>
  <si>
    <r>
      <rPr>
        <sz val="10"/>
        <rFont val="Noto Sans CJK SC"/>
        <family val="2"/>
      </rPr>
      <t xml:space="preserve">배합표 → 주문목록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예산 요청용</t>
    </r>
    <r>
      <rPr>
        <sz val="10"/>
        <rFont val="Arial"/>
        <family val="0"/>
        <charset val="1"/>
      </rPr>
      <t xml:space="preserve">) → </t>
    </r>
    <r>
      <rPr>
        <sz val="10"/>
        <rFont val="Noto Sans CJK SC"/>
        <family val="2"/>
      </rPr>
      <t xml:space="preserve">원가표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봉당 원가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순서로 서로 연결되어 있습니다</t>
    </r>
    <r>
      <rPr>
        <sz val="10"/>
        <rFont val="Arial"/>
        <family val="0"/>
        <charset val="1"/>
      </rPr>
      <t xml:space="preserve">.</t>
    </r>
  </si>
  <si>
    <t xml:space="preserve">파란 글씨</t>
  </si>
  <si>
    <r>
      <rPr>
        <sz val="10"/>
        <rFont val="Noto Sans CJK SC"/>
        <family val="2"/>
      </rPr>
      <t xml:space="preserve">직접 바꿔도 되는 입력값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배합비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생산 계획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단가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배송비 등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바꾸면 나머지가 자동 계산됩니다</t>
    </r>
    <r>
      <rPr>
        <sz val="10"/>
        <rFont val="Arial"/>
        <family val="0"/>
        <charset val="1"/>
      </rPr>
      <t xml:space="preserve">.</t>
    </r>
  </si>
  <si>
    <t xml:space="preserve">검은 글씨</t>
  </si>
  <si>
    <r>
      <rPr>
        <sz val="10"/>
        <rFont val="Noto Sans CJK SC"/>
        <family val="2"/>
      </rPr>
      <t xml:space="preserve">계산식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직접 수정하지 마세요</t>
    </r>
    <r>
      <rPr>
        <sz val="10"/>
        <rFont val="Arial"/>
        <family val="0"/>
        <charset val="1"/>
      </rPr>
      <t xml:space="preserve">.</t>
    </r>
  </si>
  <si>
    <t xml:space="preserve">초록 글씨</t>
  </si>
  <si>
    <r>
      <rPr>
        <sz val="10"/>
        <rFont val="Noto Sans CJK SC"/>
        <family val="2"/>
      </rPr>
      <t xml:space="preserve">다른 시트에서 가져온 값</t>
    </r>
    <r>
      <rPr>
        <sz val="10"/>
        <rFont val="Arial"/>
        <family val="0"/>
        <charset val="1"/>
      </rPr>
      <t xml:space="preserve">.</t>
    </r>
  </si>
  <si>
    <t xml:space="preserve">노란 칸</t>
  </si>
  <si>
    <r>
      <rPr>
        <sz val="10"/>
        <rFont val="Noto Sans CJK SC"/>
        <family val="2"/>
      </rPr>
      <t xml:space="preserve">아직 확인되지 않은 값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견적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인터뷰 필요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채워야 정확해집니다</t>
    </r>
    <r>
      <rPr>
        <sz val="10"/>
        <rFont val="Arial"/>
        <family val="0"/>
        <charset val="1"/>
      </rPr>
      <t xml:space="preserve">.</t>
    </r>
  </si>
  <si>
    <t xml:space="preserve">기준</t>
  </si>
  <si>
    <r>
      <rPr>
        <sz val="10"/>
        <rFont val="Noto Sans CJK SC"/>
        <family val="2"/>
      </rPr>
      <t xml:space="preserve">확정 기준</t>
    </r>
    <r>
      <rPr>
        <sz val="10"/>
        <rFont val="Arial"/>
        <family val="0"/>
        <charset val="1"/>
      </rPr>
      <t xml:space="preserve">: 1</t>
    </r>
    <r>
      <rPr>
        <sz val="10"/>
        <rFont val="Noto Sans CJK SC"/>
        <family val="2"/>
      </rPr>
      <t xml:space="preserve">봉 </t>
    </r>
    <r>
      <rPr>
        <sz val="10"/>
        <rFont val="Arial"/>
        <family val="0"/>
        <charset val="1"/>
      </rPr>
      <t xml:space="preserve">250g, </t>
    </r>
    <r>
      <rPr>
        <sz val="10"/>
        <rFont val="Noto Sans CJK SC"/>
        <family val="2"/>
      </rPr>
      <t xml:space="preserve">완제품 기준 쌀발효곡물 </t>
    </r>
    <r>
      <rPr>
        <sz val="10"/>
        <rFont val="Arial"/>
        <family val="0"/>
        <charset val="1"/>
      </rPr>
      <t xml:space="preserve">30%(</t>
    </r>
    <r>
      <rPr>
        <sz val="10"/>
        <rFont val="Noto Sans CJK SC"/>
        <family val="2"/>
      </rPr>
      <t xml:space="preserve">건조 </t>
    </r>
    <r>
      <rPr>
        <sz val="10"/>
        <rFont val="Arial"/>
        <family val="0"/>
        <charset val="1"/>
      </rPr>
      <t xml:space="preserve">75g), </t>
    </r>
    <r>
      <rPr>
        <sz val="10"/>
        <rFont val="Noto Sans CJK SC"/>
        <family val="2"/>
      </rPr>
      <t xml:space="preserve">판매가 </t>
    </r>
    <r>
      <rPr>
        <sz val="10"/>
        <rFont val="Arial"/>
        <family val="0"/>
        <charset val="1"/>
      </rPr>
      <t xml:space="preserve">8,900</t>
    </r>
    <r>
      <rPr>
        <sz val="10"/>
        <rFont val="Noto Sans CJK SC"/>
        <family val="2"/>
      </rPr>
      <t xml:space="preserve">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잠정</t>
    </r>
    <r>
      <rPr>
        <sz val="10"/>
        <rFont val="Arial"/>
        <family val="0"/>
        <charset val="1"/>
      </rPr>
      <t xml:space="preserve">).</t>
    </r>
  </si>
  <si>
    <t xml:space="preserve">출발점</t>
  </si>
  <si>
    <r>
      <rPr>
        <sz val="10"/>
        <rFont val="Noto Sans CJK SC"/>
        <family val="2"/>
      </rPr>
      <t xml:space="preserve">기존 에너지바 배합표</t>
    </r>
    <r>
      <rPr>
        <sz val="10"/>
        <rFont val="Arial"/>
        <family val="0"/>
        <charset val="1"/>
      </rPr>
      <t xml:space="preserve">(suljigemi_energy_bar_recipe.xlsx, </t>
    </r>
    <r>
      <rPr>
        <sz val="10"/>
        <rFont val="Noto Sans CJK SC"/>
        <family val="2"/>
      </rPr>
      <t xml:space="preserve">지게미 </t>
    </r>
    <r>
      <rPr>
        <sz val="10"/>
        <rFont val="Arial"/>
        <family val="0"/>
        <charset val="1"/>
      </rPr>
      <t xml:space="preserve">15%)</t>
    </r>
    <r>
      <rPr>
        <sz val="10"/>
        <rFont val="Noto Sans CJK SC"/>
        <family val="2"/>
      </rPr>
      <t xml:space="preserve">를 그래놀라</t>
    </r>
    <r>
      <rPr>
        <sz val="10"/>
        <rFont val="Arial"/>
        <family val="0"/>
        <charset val="1"/>
      </rPr>
      <t xml:space="preserve">·30% </t>
    </r>
    <r>
      <rPr>
        <sz val="10"/>
        <rFont val="Noto Sans CJK SC"/>
        <family val="2"/>
      </rPr>
      <t xml:space="preserve">기준으로 바꿨습니다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비율은 시제품 테스트 후 조정하세요</t>
    </r>
    <r>
      <rPr>
        <sz val="10"/>
        <rFont val="Arial"/>
        <family val="0"/>
        <charset val="1"/>
      </rPr>
      <t xml:space="preserve">.</t>
    </r>
  </si>
  <si>
    <r>
      <rPr>
        <b val="true"/>
        <sz val="14"/>
        <rFont val="Noto Sans CJK SC"/>
        <family val="2"/>
      </rPr>
      <t xml:space="preserve">그래놀라 배합표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원료 투입 기준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</si>
  <si>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10"/>
        <color rgb="FF555555"/>
        <rFont val="Noto Sans CJK SC"/>
        <family val="2"/>
      </rPr>
      <t xml:space="preserve">쌀발효곡물은 굽는 동안 무게가 거의 줄지 않아</t>
    </r>
    <r>
      <rPr>
        <i val="true"/>
        <sz val="10"/>
        <color rgb="FF555555"/>
        <rFont val="Arial"/>
        <family val="0"/>
        <charset val="1"/>
      </rPr>
      <t xml:space="preserve">, </t>
    </r>
    <r>
      <rPr>
        <i val="true"/>
        <sz val="10"/>
        <color rgb="FF555555"/>
        <rFont val="Noto Sans CJK SC"/>
        <family val="2"/>
      </rPr>
      <t xml:space="preserve">원료 기준 </t>
    </r>
    <r>
      <rPr>
        <i val="true"/>
        <sz val="10"/>
        <color rgb="FF555555"/>
        <rFont val="Arial"/>
        <family val="0"/>
        <charset val="1"/>
      </rPr>
      <t xml:space="preserve">27%</t>
    </r>
    <r>
      <rPr>
        <i val="true"/>
        <sz val="10"/>
        <color rgb="FF555555"/>
        <rFont val="Noto Sans CJK SC"/>
        <family val="2"/>
      </rPr>
      <t xml:space="preserve">가 완제품</t>
    </r>
    <r>
      <rPr>
        <i val="true"/>
        <sz val="10"/>
        <color rgb="FF555555"/>
        <rFont val="Arial"/>
        <family val="0"/>
        <charset val="1"/>
      </rPr>
      <t xml:space="preserve">(</t>
    </r>
    <r>
      <rPr>
        <i val="true"/>
        <sz val="10"/>
        <color rgb="FF555555"/>
        <rFont val="Noto Sans CJK SC"/>
        <family val="2"/>
      </rPr>
      <t xml:space="preserve">수율 </t>
    </r>
    <r>
      <rPr>
        <i val="true"/>
        <sz val="10"/>
        <color rgb="FF555555"/>
        <rFont val="Arial"/>
        <family val="0"/>
        <charset val="1"/>
      </rPr>
      <t xml:space="preserve">90%) </t>
    </r>
    <r>
      <rPr>
        <i val="true"/>
        <sz val="10"/>
        <color rgb="FF555555"/>
        <rFont val="Noto Sans CJK SC"/>
        <family val="2"/>
      </rPr>
      <t xml:space="preserve">기준 약 </t>
    </r>
    <r>
      <rPr>
        <i val="true"/>
        <sz val="10"/>
        <color rgb="FF555555"/>
        <rFont val="Arial"/>
        <family val="0"/>
        <charset val="1"/>
      </rPr>
      <t xml:space="preserve">30%</t>
    </r>
    <r>
      <rPr>
        <i val="true"/>
        <sz val="10"/>
        <color rgb="FF555555"/>
        <rFont val="Noto Sans CJK SC"/>
        <family val="2"/>
      </rPr>
      <t xml:space="preserve">가 됩니다</t>
    </r>
    <r>
      <rPr>
        <i val="true"/>
        <sz val="10"/>
        <color rgb="FF555555"/>
        <rFont val="Arial"/>
        <family val="0"/>
        <charset val="1"/>
      </rPr>
      <t xml:space="preserve">.</t>
    </r>
  </si>
  <si>
    <t xml:space="preserve">재료</t>
  </si>
  <si>
    <t xml:space="preserve">배합비</t>
  </si>
  <si>
    <r>
      <rPr>
        <b val="true"/>
        <sz val="10"/>
        <color rgb="FFF7F3ED"/>
        <rFont val="Arial"/>
        <family val="0"/>
        <charset val="1"/>
      </rPr>
      <t xml:space="preserve">1</t>
    </r>
    <r>
      <rPr>
        <b val="true"/>
        <sz val="10"/>
        <color rgb="FFF7F3ED"/>
        <rFont val="Noto Sans CJK SC"/>
        <family val="2"/>
      </rPr>
      <t xml:space="preserve">봉</t>
    </r>
    <r>
      <rPr>
        <b val="true"/>
        <sz val="10"/>
        <color rgb="FFF7F3ED"/>
        <rFont val="Arial"/>
        <family val="0"/>
        <charset val="1"/>
      </rPr>
      <t xml:space="preserve">(250g) </t>
    </r>
    <r>
      <rPr>
        <b val="true"/>
        <sz val="10"/>
        <color rgb="FFF7F3ED"/>
        <rFont val="Noto Sans CJK SC"/>
        <family val="2"/>
      </rPr>
      <t xml:space="preserve">원료 중량</t>
    </r>
    <r>
      <rPr>
        <b val="true"/>
        <sz val="10"/>
        <color rgb="FFF7F3ED"/>
        <rFont val="Arial"/>
        <family val="0"/>
        <charset val="1"/>
      </rPr>
      <t xml:space="preserve">(g)</t>
    </r>
  </si>
  <si>
    <r>
      <rPr>
        <b val="true"/>
        <sz val="10"/>
        <color rgb="FFF7F3ED"/>
        <rFont val="Noto Sans CJK SC"/>
        <family val="2"/>
      </rPr>
      <t xml:space="preserve">역할</t>
    </r>
    <r>
      <rPr>
        <b val="true"/>
        <sz val="10"/>
        <color rgb="FFF7F3ED"/>
        <rFont val="Arial"/>
        <family val="0"/>
        <charset val="1"/>
      </rPr>
      <t xml:space="preserve">·</t>
    </r>
    <r>
      <rPr>
        <b val="true"/>
        <sz val="10"/>
        <color rgb="FFF7F3ED"/>
        <rFont val="Noto Sans CJK SC"/>
        <family val="2"/>
      </rPr>
      <t xml:space="preserve">설명</t>
    </r>
  </si>
  <si>
    <t xml:space="preserve">기존 에너지바 배합비</t>
  </si>
  <si>
    <t xml:space="preserve">건조 쌀발효곡물</t>
  </si>
  <si>
    <r>
      <rPr>
        <sz val="10"/>
        <rFont val="Noto Sans CJK SC"/>
        <family val="2"/>
      </rPr>
      <t xml:space="preserve">완전 건조 후 거칠게 분쇄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구수한 풍미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핵심 원료</t>
    </r>
  </si>
  <si>
    <r>
      <rPr>
        <sz val="10"/>
        <rFont val="Noto Sans CJK SC"/>
        <family val="2"/>
      </rPr>
      <t xml:space="preserve">압착귀리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롤드 오트</t>
    </r>
    <r>
      <rPr>
        <sz val="10"/>
        <rFont val="Arial"/>
        <family val="0"/>
        <charset val="1"/>
      </rPr>
      <t xml:space="preserve">)</t>
    </r>
  </si>
  <si>
    <t xml:space="preserve">식감과 구조를 잡는 베이스</t>
  </si>
  <si>
    <t xml:space="preserve">아몬드 슬라이스</t>
  </si>
  <si>
    <t xml:space="preserve">고소한 맛과 바삭함</t>
  </si>
  <si>
    <r>
      <rPr>
        <sz val="10"/>
        <rFont val="Noto Sans CJK SC"/>
        <family val="2"/>
      </rPr>
      <t xml:space="preserve">견과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씨앗 합 </t>
    </r>
    <r>
      <rPr>
        <sz val="10"/>
        <rFont val="Arial"/>
        <family val="0"/>
        <charset val="1"/>
      </rPr>
      <t xml:space="preserve">15%</t>
    </r>
  </si>
  <si>
    <t xml:space="preserve">호박씨</t>
  </si>
  <si>
    <t xml:space="preserve">씨앗류 토핑</t>
  </si>
  <si>
    <t xml:space="preserve">-</t>
  </si>
  <si>
    <t xml:space="preserve">해바라기씨</t>
  </si>
  <si>
    <t xml:space="preserve">건크랜베리</t>
  </si>
  <si>
    <r>
      <rPr>
        <sz val="10"/>
        <rFont val="Noto Sans CJK SC"/>
        <family val="2"/>
      </rPr>
      <t xml:space="preserve">굽고 식힌 뒤 넣는 건과일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공정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단계</t>
    </r>
    <r>
      <rPr>
        <sz val="10"/>
        <rFont val="Arial"/>
        <family val="0"/>
        <charset val="1"/>
      </rPr>
      <t xml:space="preserve">)</t>
    </r>
  </si>
  <si>
    <t xml:space="preserve">쌀조청</t>
  </si>
  <si>
    <r>
      <rPr>
        <sz val="10"/>
        <rFont val="Noto Sans CJK SC"/>
        <family val="2"/>
      </rPr>
      <t xml:space="preserve">바인더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당류</t>
    </r>
    <r>
      <rPr>
        <sz val="10"/>
        <rFont val="Arial"/>
        <family val="0"/>
        <charset val="1"/>
      </rPr>
      <t xml:space="preserve">). 40~50°C</t>
    </r>
    <r>
      <rPr>
        <sz val="10"/>
        <rFont val="Noto Sans CJK SC"/>
        <family val="2"/>
      </rPr>
      <t xml:space="preserve">로 데워 투입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쌀 원료라 브랜드와도 맞음</t>
    </r>
  </si>
  <si>
    <t xml:space="preserve">현미유</t>
  </si>
  <si>
    <r>
      <rPr>
        <sz val="10"/>
        <rFont val="Noto Sans CJK SC"/>
        <family val="2"/>
      </rPr>
      <t xml:space="preserve">바인더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유지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표면 바삭함</t>
    </r>
  </si>
  <si>
    <t xml:space="preserve">소금</t>
  </si>
  <si>
    <t xml:space="preserve">단맛 균형</t>
  </si>
  <si>
    <r>
      <rPr>
        <b val="true"/>
        <sz val="10"/>
        <rFont val="Noto Sans CJK SC"/>
        <family val="2"/>
      </rPr>
      <t xml:space="preserve">합계 </t>
    </r>
    <r>
      <rPr>
        <b val="true"/>
        <sz val="10"/>
        <rFont val="Arial"/>
        <family val="0"/>
        <charset val="1"/>
      </rPr>
      <t xml:space="preserve">(100%</t>
    </r>
    <r>
      <rPr>
        <b val="true"/>
        <sz val="10"/>
        <rFont val="Noto Sans CJK SC"/>
        <family val="2"/>
      </rPr>
      <t xml:space="preserve">여야 함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</si>
  <si>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봉 원료 합계 </t>
    </r>
    <r>
      <rPr>
        <sz val="10"/>
        <rFont val="Arial"/>
        <family val="0"/>
        <charset val="1"/>
      </rPr>
      <t xml:space="preserve">= 250g ÷ </t>
    </r>
    <r>
      <rPr>
        <sz val="10"/>
        <rFont val="Noto Sans CJK SC"/>
        <family val="2"/>
      </rPr>
      <t xml:space="preserve">수율</t>
    </r>
  </si>
  <si>
    <t xml:space="preserve">완제품 기준 쌀발효곡물 비율</t>
  </si>
  <si>
    <r>
      <rPr>
        <i val="true"/>
        <sz val="10"/>
        <color rgb="FF555555"/>
        <rFont val="Noto Sans CJK SC"/>
        <family val="2"/>
      </rPr>
      <t xml:space="preserve">목표 </t>
    </r>
    <r>
      <rPr>
        <i val="true"/>
        <sz val="10"/>
        <color rgb="FF555555"/>
        <rFont val="Arial"/>
        <family val="0"/>
        <charset val="1"/>
      </rPr>
      <t xml:space="preserve">30% (</t>
    </r>
    <r>
      <rPr>
        <i val="true"/>
        <sz val="10"/>
        <color rgb="FF555555"/>
        <rFont val="Noto Sans CJK SC"/>
        <family val="2"/>
      </rPr>
      <t xml:space="preserve">홈페이지</t>
    </r>
    <r>
      <rPr>
        <i val="true"/>
        <sz val="10"/>
        <color rgb="FF555555"/>
        <rFont val="Arial"/>
        <family val="0"/>
        <charset val="1"/>
      </rPr>
      <t xml:space="preserve">·PPT</t>
    </r>
    <r>
      <rPr>
        <i val="true"/>
        <sz val="10"/>
        <color rgb="FF555555"/>
        <rFont val="Noto Sans CJK SC"/>
        <family val="2"/>
      </rPr>
      <t xml:space="preserve">에 표기된 값</t>
    </r>
    <r>
      <rPr>
        <i val="true"/>
        <sz val="10"/>
        <color rgb="FF555555"/>
        <rFont val="Arial"/>
        <family val="0"/>
        <charset val="1"/>
      </rPr>
      <t xml:space="preserve">)</t>
    </r>
  </si>
  <si>
    <r>
      <rPr>
        <b val="true"/>
        <sz val="14"/>
        <rFont val="Noto Sans CJK SC"/>
        <family val="2"/>
      </rPr>
      <t xml:space="preserve">시제품 재료 주문목록 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예산 요청용</t>
    </r>
    <r>
      <rPr>
        <b val="true"/>
        <sz val="14"/>
        <rFont val="Arial"/>
        <family val="0"/>
        <charset val="1"/>
      </rPr>
      <t xml:space="preserve">)</t>
    </r>
  </si>
  <si>
    <r>
      <rPr>
        <i val="true"/>
        <sz val="10"/>
        <color rgb="FF555555"/>
        <rFont val="Noto Sans CJK SC"/>
        <family val="2"/>
      </rPr>
      <t xml:space="preserve">가격</t>
    </r>
    <r>
      <rPr>
        <i val="true"/>
        <sz val="10"/>
        <color rgb="FF555555"/>
        <rFont val="Arial"/>
        <family val="0"/>
        <charset val="1"/>
      </rPr>
      <t xml:space="preserve">: 2026-10-03 </t>
    </r>
    <r>
      <rPr>
        <i val="true"/>
        <sz val="10"/>
        <color rgb="FF555555"/>
        <rFont val="Noto Sans CJK SC"/>
        <family val="2"/>
      </rPr>
      <t xml:space="preserve">온라인 판매가 조사</t>
    </r>
    <r>
      <rPr>
        <i val="true"/>
        <sz val="10"/>
        <color rgb="FF555555"/>
        <rFont val="Arial"/>
        <family val="0"/>
        <charset val="1"/>
      </rPr>
      <t xml:space="preserve">. </t>
    </r>
    <r>
      <rPr>
        <i val="true"/>
        <sz val="10"/>
        <color rgb="FF555555"/>
        <rFont val="Noto Sans CJK SC"/>
        <family val="2"/>
      </rPr>
      <t xml:space="preserve">할인</t>
    </r>
    <r>
      <rPr>
        <i val="true"/>
        <sz val="10"/>
        <color rgb="FF555555"/>
        <rFont val="Arial"/>
        <family val="0"/>
        <charset val="1"/>
      </rPr>
      <t xml:space="preserve">·</t>
    </r>
    <r>
      <rPr>
        <i val="true"/>
        <sz val="10"/>
        <color rgb="FF555555"/>
        <rFont val="Noto Sans CJK SC"/>
        <family val="2"/>
      </rPr>
      <t xml:space="preserve">품절로 바뀔 수 있으니 주문 직전 링크에서 다시 확인하세요</t>
    </r>
    <r>
      <rPr>
        <i val="true"/>
        <sz val="10"/>
        <color rgb="FF555555"/>
        <rFont val="Arial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</si>
  <si>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생산 계획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파란 값만 바꾸세요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</si>
  <si>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봉 중량</t>
    </r>
    <r>
      <rPr>
        <sz val="10"/>
        <rFont val="Arial"/>
        <family val="0"/>
        <charset val="1"/>
      </rPr>
      <t xml:space="preserve">(g)</t>
    </r>
  </si>
  <si>
    <r>
      <rPr>
        <sz val="10"/>
        <rFont val="Noto Sans CJK SC"/>
        <family val="2"/>
      </rPr>
      <t xml:space="preserve">수율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원료 → 완제품</t>
    </r>
    <r>
      <rPr>
        <sz val="10"/>
        <rFont val="Arial"/>
        <family val="0"/>
        <charset val="1"/>
      </rPr>
      <t xml:space="preserve">)</t>
    </r>
  </si>
  <si>
    <t xml:space="preserve">레시피 테스트 횟수</t>
  </si>
  <si>
    <r>
      <rPr>
        <sz val="10"/>
        <rFont val="Noto Sans CJK SC"/>
        <family val="2"/>
      </rPr>
      <t xml:space="preserve">테스트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완제품</t>
    </r>
    <r>
      <rPr>
        <sz val="10"/>
        <rFont val="Arial"/>
        <family val="0"/>
        <charset val="1"/>
      </rPr>
      <t xml:space="preserve">(kg)</t>
    </r>
  </si>
  <si>
    <r>
      <rPr>
        <sz val="10"/>
        <rFont val="Noto Sans CJK SC"/>
        <family val="2"/>
      </rPr>
      <t xml:space="preserve">시식 인원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명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</si>
  <si>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인 시식량</t>
    </r>
    <r>
      <rPr>
        <sz val="10"/>
        <rFont val="Arial"/>
        <family val="0"/>
        <charset val="1"/>
      </rPr>
      <t xml:space="preserve">(g)</t>
    </r>
  </si>
  <si>
    <r>
      <rPr>
        <sz val="10"/>
        <rFont val="Noto Sans CJK SC"/>
        <family val="2"/>
      </rPr>
      <t xml:space="preserve">발표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전시용 포장 봉수</t>
    </r>
  </si>
  <si>
    <t xml:space="preserve">구매 여유율</t>
  </si>
  <si>
    <t xml:space="preserve">예비비율</t>
  </si>
  <si>
    <r>
      <rPr>
        <b val="true"/>
        <sz val="10"/>
        <rFont val="Noto Sans CJK SC"/>
        <family val="2"/>
      </rPr>
      <t xml:space="preserve">완제품 총량</t>
    </r>
    <r>
      <rPr>
        <b val="true"/>
        <sz val="10"/>
        <rFont val="Arial"/>
        <family val="0"/>
        <charset val="1"/>
      </rPr>
      <t xml:space="preserve">(kg)</t>
    </r>
  </si>
  <si>
    <r>
      <rPr>
        <b val="true"/>
        <sz val="10"/>
        <rFont val="Noto Sans CJK SC"/>
        <family val="2"/>
      </rPr>
      <t xml:space="preserve">필요 원료 총량</t>
    </r>
    <r>
      <rPr>
        <b val="true"/>
        <sz val="10"/>
        <rFont val="Arial"/>
        <family val="0"/>
        <charset val="1"/>
      </rPr>
      <t xml:space="preserve">(kg, </t>
    </r>
    <r>
      <rPr>
        <b val="true"/>
        <sz val="10"/>
        <rFont val="Noto Sans CJK SC"/>
        <family val="2"/>
      </rPr>
      <t xml:space="preserve">여유 포함</t>
    </r>
    <r>
      <rPr>
        <b val="true"/>
        <sz val="10"/>
        <rFont val="Arial"/>
        <family val="0"/>
        <charset val="1"/>
      </rPr>
      <t xml:space="preserve">)</t>
    </r>
  </si>
  <si>
    <t xml:space="preserve">구분</t>
  </si>
  <si>
    <t xml:space="preserve">품목</t>
  </si>
  <si>
    <r>
      <rPr>
        <b val="true"/>
        <sz val="10"/>
        <color rgb="FFF7F3ED"/>
        <rFont val="Noto Sans CJK SC"/>
        <family val="2"/>
      </rPr>
      <t xml:space="preserve">필요량</t>
    </r>
    <r>
      <rPr>
        <b val="true"/>
        <sz val="10"/>
        <color rgb="FFF7F3ED"/>
        <rFont val="Arial"/>
        <family val="0"/>
        <charset val="1"/>
      </rPr>
      <t xml:space="preserve">(kg·</t>
    </r>
    <r>
      <rPr>
        <b val="true"/>
        <sz val="10"/>
        <color rgb="FFF7F3ED"/>
        <rFont val="Noto Sans CJK SC"/>
        <family val="2"/>
      </rPr>
      <t xml:space="preserve">매</t>
    </r>
    <r>
      <rPr>
        <b val="true"/>
        <sz val="10"/>
        <color rgb="FFF7F3ED"/>
        <rFont val="Arial"/>
        <family val="0"/>
        <charset val="1"/>
      </rPr>
      <t xml:space="preserve">)</t>
    </r>
  </si>
  <si>
    <t xml:space="preserve">구매 단위</t>
  </si>
  <si>
    <r>
      <rPr>
        <b val="true"/>
        <sz val="10"/>
        <color rgb="FFF7F3ED"/>
        <rFont val="Noto Sans CJK SC"/>
        <family val="2"/>
      </rPr>
      <t xml:space="preserve">단위 중량</t>
    </r>
    <r>
      <rPr>
        <b val="true"/>
        <sz val="10"/>
        <color rgb="FFF7F3ED"/>
        <rFont val="Arial"/>
        <family val="0"/>
        <charset val="1"/>
      </rPr>
      <t xml:space="preserve">(kg)·</t>
    </r>
    <r>
      <rPr>
        <b val="true"/>
        <sz val="10"/>
        <color rgb="FFF7F3ED"/>
        <rFont val="Noto Sans CJK SC"/>
        <family val="2"/>
      </rPr>
      <t xml:space="preserve">매수</t>
    </r>
  </si>
  <si>
    <t xml:space="preserve">구매 수량</t>
  </si>
  <si>
    <r>
      <rPr>
        <b val="true"/>
        <sz val="10"/>
        <color rgb="FFF7F3ED"/>
        <rFont val="Noto Sans CJK SC"/>
        <family val="2"/>
      </rPr>
      <t xml:space="preserve">단가</t>
    </r>
    <r>
      <rPr>
        <b val="true"/>
        <sz val="10"/>
        <color rgb="FFF7F3ED"/>
        <rFont val="Arial"/>
        <family val="0"/>
        <charset val="1"/>
      </rPr>
      <t xml:space="preserve">(</t>
    </r>
    <r>
      <rPr>
        <b val="true"/>
        <sz val="10"/>
        <color rgb="FFF7F3ED"/>
        <rFont val="Noto Sans CJK SC"/>
        <family val="2"/>
      </rPr>
      <t xml:space="preserve">원</t>
    </r>
    <r>
      <rPr>
        <b val="true"/>
        <sz val="10"/>
        <color rgb="FFF7F3ED"/>
        <rFont val="Arial"/>
        <family val="0"/>
        <charset val="1"/>
      </rPr>
      <t xml:space="preserve">)</t>
    </r>
  </si>
  <si>
    <r>
      <rPr>
        <b val="true"/>
        <sz val="10"/>
        <color rgb="FFF7F3ED"/>
        <rFont val="Noto Sans CJK SC"/>
        <family val="2"/>
      </rPr>
      <t xml:space="preserve">배송비</t>
    </r>
    <r>
      <rPr>
        <b val="true"/>
        <sz val="10"/>
        <color rgb="FFF7F3ED"/>
        <rFont val="Arial"/>
        <family val="0"/>
        <charset val="1"/>
      </rPr>
      <t xml:space="preserve">(</t>
    </r>
    <r>
      <rPr>
        <b val="true"/>
        <sz val="10"/>
        <color rgb="FFF7F3ED"/>
        <rFont val="Noto Sans CJK SC"/>
        <family val="2"/>
      </rPr>
      <t xml:space="preserve">원</t>
    </r>
    <r>
      <rPr>
        <b val="true"/>
        <sz val="10"/>
        <color rgb="FFF7F3ED"/>
        <rFont val="Arial"/>
        <family val="0"/>
        <charset val="1"/>
      </rPr>
      <t xml:space="preserve">)</t>
    </r>
  </si>
  <si>
    <r>
      <rPr>
        <b val="true"/>
        <sz val="10"/>
        <color rgb="FFF7F3ED"/>
        <rFont val="Noto Sans CJK SC"/>
        <family val="2"/>
      </rPr>
      <t xml:space="preserve">금액</t>
    </r>
    <r>
      <rPr>
        <b val="true"/>
        <sz val="10"/>
        <color rgb="FFF7F3ED"/>
        <rFont val="Arial"/>
        <family val="0"/>
        <charset val="1"/>
      </rPr>
      <t xml:space="preserve">(</t>
    </r>
    <r>
      <rPr>
        <b val="true"/>
        <sz val="10"/>
        <color rgb="FFF7F3ED"/>
        <rFont val="Noto Sans CJK SC"/>
        <family val="2"/>
      </rPr>
      <t xml:space="preserve">원</t>
    </r>
    <r>
      <rPr>
        <b val="true"/>
        <sz val="10"/>
        <color rgb="FFF7F3ED"/>
        <rFont val="Arial"/>
        <family val="0"/>
        <charset val="1"/>
      </rPr>
      <t xml:space="preserve">)</t>
    </r>
  </si>
  <si>
    <r>
      <rPr>
        <b val="true"/>
        <sz val="10"/>
        <color rgb="FFF7F3ED"/>
        <rFont val="Noto Sans CJK SC"/>
        <family val="2"/>
      </rPr>
      <t xml:space="preserve">구매처</t>
    </r>
    <r>
      <rPr>
        <b val="true"/>
        <sz val="10"/>
        <color rgb="FFF7F3ED"/>
        <rFont val="Arial"/>
        <family val="0"/>
        <charset val="1"/>
      </rPr>
      <t xml:space="preserve">·</t>
    </r>
    <r>
      <rPr>
        <b val="true"/>
        <sz val="10"/>
        <color rgb="FFF7F3ED"/>
        <rFont val="Noto Sans CJK SC"/>
        <family val="2"/>
      </rPr>
      <t xml:space="preserve">링크</t>
    </r>
  </si>
  <si>
    <t xml:space="preserve">비고</t>
  </si>
  <si>
    <t xml:space="preserve">원재료</t>
  </si>
  <si>
    <t xml:space="preserve">양조장 수령</t>
  </si>
  <si>
    <r>
      <rPr>
        <sz val="10"/>
        <rFont val="Noto Sans CJK SC"/>
        <family val="2"/>
      </rPr>
      <t xml:space="preserve">협력 양조장 </t>
    </r>
    <r>
      <rPr>
        <sz val="10"/>
        <rFont val="Arial"/>
        <family val="0"/>
        <charset val="1"/>
      </rPr>
      <t xml:space="preserve">(10</t>
    </r>
    <r>
      <rPr>
        <sz val="10"/>
        <rFont val="Noto Sans CJK SC"/>
        <family val="2"/>
      </rPr>
      <t xml:space="preserve">월 말 방문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</si>
  <si>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무상 수령 가정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생주박은 수분이 많아 건조하면 무게가 크게 줄어듦 → 수령량은 인터뷰에서 수분 함량 확인 후 결정</t>
    </r>
  </si>
  <si>
    <t xml:space="preserve">1kg (500g×2)</t>
  </si>
  <si>
    <t xml:space="preserve">https://m.11st.co.kr/products/8808200493</t>
  </si>
  <si>
    <t xml:space="preserve">배송비는 가정값</t>
  </si>
  <si>
    <t xml:space="preserve">1kg</t>
  </si>
  <si>
    <t xml:space="preserve">https://www.coupang.com/vp/products/9599749</t>
  </si>
  <si>
    <t xml:space="preserve">무료배송</t>
  </si>
  <si>
    <t xml:space="preserve">https://www.coupang.com/vp/products/1343250089</t>
  </si>
  <si>
    <r>
      <rPr>
        <sz val="10"/>
        <rFont val="Noto Sans CJK SC"/>
        <family val="2"/>
      </rPr>
      <t xml:space="preserve">해바라기씨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탈각</t>
    </r>
    <r>
      <rPr>
        <sz val="10"/>
        <rFont val="Arial"/>
        <family val="0"/>
        <charset val="1"/>
      </rPr>
      <t xml:space="preserve">)</t>
    </r>
  </si>
  <si>
    <t xml:space="preserve">500g</t>
  </si>
  <si>
    <t xml:space="preserve">https://www.coupang.com/vp/products/44837595</t>
  </si>
  <si>
    <r>
      <rPr>
        <sz val="10"/>
        <rFont val="Noto Sans CJK SC"/>
        <family val="2"/>
      </rPr>
      <t xml:space="preserve">로켓배송 </t>
    </r>
    <r>
      <rPr>
        <sz val="10"/>
        <rFont val="Arial"/>
        <family val="0"/>
        <charset val="1"/>
      </rPr>
      <t xml:space="preserve">19,800</t>
    </r>
    <r>
      <rPr>
        <sz val="10"/>
        <rFont val="Noto Sans CJK SC"/>
        <family val="2"/>
      </rPr>
      <t xml:space="preserve">원 미만 시 배송비 가정</t>
    </r>
  </si>
  <si>
    <t xml:space="preserve">https://www.coupang.com/vp/products/9614868442</t>
  </si>
  <si>
    <t xml:space="preserve">1.2kg</t>
  </si>
  <si>
    <t xml:space="preserve">https://www.coupang.com/vp/products/9135135088</t>
  </si>
  <si>
    <r>
      <rPr>
        <sz val="10"/>
        <rFont val="Noto Sans CJK SC"/>
        <family val="2"/>
      </rPr>
      <t xml:space="preserve">무료배송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우리쌀 조청</t>
    </r>
  </si>
  <si>
    <t xml:space="preserve">500ml</t>
  </si>
  <si>
    <t xml:space="preserve">https://www.coupang.com/vp/products/9063908964</t>
  </si>
  <si>
    <r>
      <rPr>
        <sz val="10"/>
        <rFont val="Arial"/>
        <family val="0"/>
        <charset val="1"/>
      </rPr>
      <t xml:space="preserve">500ml ≈ 0.46kg. </t>
    </r>
    <r>
      <rPr>
        <sz val="10"/>
        <rFont val="Noto Sans CJK SC"/>
        <family val="2"/>
      </rPr>
      <t xml:space="preserve">배송비 가정</t>
    </r>
  </si>
  <si>
    <t xml:space="preserve">보유품 사용</t>
  </si>
  <si>
    <r>
      <rPr>
        <sz val="10"/>
        <rFont val="Noto Sans CJK SC"/>
        <family val="2"/>
      </rPr>
      <t xml:space="preserve">필요량 수십 </t>
    </r>
    <r>
      <rPr>
        <sz val="10"/>
        <rFont val="Arial"/>
        <family val="0"/>
        <charset val="1"/>
      </rPr>
      <t xml:space="preserve">g </t>
    </r>
    <r>
      <rPr>
        <sz val="10"/>
        <rFont val="Noto Sans CJK SC"/>
        <family val="2"/>
      </rPr>
      <t xml:space="preserve">수준</t>
    </r>
  </si>
  <si>
    <r>
      <rPr>
        <sz val="10"/>
        <rFont val="Noto Sans CJK SC"/>
        <family val="2"/>
      </rPr>
      <t xml:space="preserve">원재료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선택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</si>
  <si>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시판 술지게미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사전 레시피 테스트용</t>
    </r>
    <r>
      <rPr>
        <sz val="10"/>
        <rFont val="Arial"/>
        <family val="0"/>
        <charset val="1"/>
      </rPr>
      <t xml:space="preserve">)</t>
    </r>
  </si>
  <si>
    <t xml:space="preserve">견적 필요</t>
  </si>
  <si>
    <r>
      <rPr>
        <sz val="10"/>
        <rFont val="Noto Sans CJK SC"/>
        <family val="2"/>
      </rPr>
      <t xml:space="preserve">양조장 방문 전에 레시피를 먼저 잡고 싶을 때만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판매처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가격 확인 필요</t>
    </r>
  </si>
  <si>
    <t xml:space="preserve">포장</t>
  </si>
  <si>
    <r>
      <rPr>
        <sz val="10"/>
        <rFont val="Noto Sans CJK SC"/>
        <family val="2"/>
      </rPr>
      <t xml:space="preserve">크라프트 무광창 스탠드 지퍼백 </t>
    </r>
    <r>
      <rPr>
        <sz val="10"/>
        <rFont val="Arial"/>
        <family val="0"/>
        <charset val="1"/>
      </rPr>
      <t xml:space="preserve">180×260mm</t>
    </r>
  </si>
  <si>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매</t>
    </r>
  </si>
  <si>
    <t xml:space="preserve">https://www.foodspring.co.kr/goods/detail/723398</t>
  </si>
  <si>
    <r>
      <rPr>
        <sz val="10"/>
        <rFont val="Arial"/>
        <family val="0"/>
        <charset val="1"/>
      </rPr>
      <t xml:space="preserve">250g </t>
    </r>
    <r>
      <rPr>
        <sz val="10"/>
        <rFont val="Noto Sans CJK SC"/>
        <family val="2"/>
      </rPr>
      <t xml:space="preserve">완제품 포장용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같은 판매자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만원 이상 무료배송</t>
    </r>
  </si>
  <si>
    <r>
      <rPr>
        <sz val="10"/>
        <rFont val="Noto Sans CJK SC"/>
        <family val="2"/>
      </rPr>
      <t xml:space="preserve">크라프트 스탠드 지퍼백 </t>
    </r>
    <r>
      <rPr>
        <sz val="10"/>
        <rFont val="Arial"/>
        <family val="0"/>
        <charset val="1"/>
      </rPr>
      <t xml:space="preserve">100×170mm (</t>
    </r>
    <r>
      <rPr>
        <sz val="10"/>
        <rFont val="Noto Sans CJK SC"/>
        <family val="2"/>
      </rPr>
      <t xml:space="preserve">시식 소분</t>
    </r>
    <r>
      <rPr>
        <sz val="10"/>
        <rFont val="Arial"/>
        <family val="0"/>
        <charset val="1"/>
      </rPr>
      <t xml:space="preserve">)</t>
    </r>
  </si>
  <si>
    <t xml:space="preserve">https://www.foodspring.co.kr/goods/detail/717727</t>
  </si>
  <si>
    <t xml:space="preserve">위 파우치와 같은 판매자 → 배송비 합산</t>
  </si>
  <si>
    <t xml:space="preserve">소모품</t>
  </si>
  <si>
    <r>
      <rPr>
        <sz val="10"/>
        <rFont val="Noto Sans CJK SC"/>
        <family val="2"/>
      </rPr>
      <t xml:space="preserve">종이호일 </t>
    </r>
    <r>
      <rPr>
        <sz val="10"/>
        <rFont val="Arial"/>
        <family val="0"/>
        <charset val="1"/>
      </rPr>
      <t xml:space="preserve">30cm </t>
    </r>
    <r>
      <rPr>
        <sz val="10"/>
        <rFont val="Noto Sans CJK SC"/>
        <family val="2"/>
      </rPr>
      <t xml:space="preserve">롤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</si>
  <si>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롤</t>
    </r>
  </si>
  <si>
    <t xml:space="preserve">https://www.coupang.com/vp/products/7936926969</t>
  </si>
  <si>
    <t xml:space="preserve">배송비 가정</t>
  </si>
  <si>
    <r>
      <rPr>
        <sz val="10"/>
        <rFont val="Noto Sans CJK SC"/>
        <family val="2"/>
      </rPr>
      <t xml:space="preserve">위생장갑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위생모</t>
    </r>
  </si>
  <si>
    <t xml:space="preserve">실습실 보유 확인</t>
  </si>
  <si>
    <t xml:space="preserve">없으면 추가 구매</t>
  </si>
  <si>
    <t xml:space="preserve">소계</t>
  </si>
  <si>
    <t xml:space="preserve">예비비</t>
  </si>
  <si>
    <t xml:space="preserve">총 요청액</t>
  </si>
  <si>
    <t xml:space="preserve">천 원 단위 올림</t>
  </si>
  <si>
    <r>
      <rPr>
        <i val="true"/>
        <sz val="10"/>
        <color rgb="FF555555"/>
        <rFont val="Noto Sans CJK SC"/>
        <family val="2"/>
      </rPr>
      <t xml:space="preserve">※ 노란 칸</t>
    </r>
    <r>
      <rPr>
        <i val="true"/>
        <sz val="10"/>
        <color rgb="FF555555"/>
        <rFont val="Arial"/>
        <family val="0"/>
        <charset val="1"/>
      </rPr>
      <t xml:space="preserve">(</t>
    </r>
    <r>
      <rPr>
        <i val="true"/>
        <sz val="10"/>
        <color rgb="FF555555"/>
        <rFont val="Noto Sans CJK SC"/>
        <family val="2"/>
      </rPr>
      <t xml:space="preserve">시판 술지게미</t>
    </r>
    <r>
      <rPr>
        <i val="true"/>
        <sz val="10"/>
        <color rgb="FF555555"/>
        <rFont val="Arial"/>
        <family val="0"/>
        <charset val="1"/>
      </rPr>
      <t xml:space="preserve">, </t>
    </r>
    <r>
      <rPr>
        <i val="true"/>
        <sz val="10"/>
        <color rgb="FF555555"/>
        <rFont val="Noto Sans CJK SC"/>
        <family val="2"/>
      </rPr>
      <t xml:space="preserve">위생용품</t>
    </r>
    <r>
      <rPr>
        <i val="true"/>
        <sz val="10"/>
        <color rgb="FF555555"/>
        <rFont val="Arial"/>
        <family val="0"/>
        <charset val="1"/>
      </rPr>
      <t xml:space="preserve">)</t>
    </r>
    <r>
      <rPr>
        <i val="true"/>
        <sz val="10"/>
        <color rgb="FF555555"/>
        <rFont val="Noto Sans CJK SC"/>
        <family val="2"/>
      </rPr>
      <t xml:space="preserve">은 견적이 없어 소계에 </t>
    </r>
    <r>
      <rPr>
        <i val="true"/>
        <sz val="10"/>
        <color rgb="FF555555"/>
        <rFont val="Arial"/>
        <family val="0"/>
        <charset val="1"/>
      </rPr>
      <t xml:space="preserve">0</t>
    </r>
    <r>
      <rPr>
        <i val="true"/>
        <sz val="10"/>
        <color rgb="FF555555"/>
        <rFont val="Noto Sans CJK SC"/>
        <family val="2"/>
      </rPr>
      <t xml:space="preserve">원으로 들어가 있습니다</t>
    </r>
    <r>
      <rPr>
        <i val="true"/>
        <sz val="10"/>
        <color rgb="FF555555"/>
        <rFont val="Arial"/>
        <family val="0"/>
        <charset val="1"/>
      </rPr>
      <t xml:space="preserve">. </t>
    </r>
    <r>
      <rPr>
        <i val="true"/>
        <sz val="10"/>
        <color rgb="FF555555"/>
        <rFont val="Noto Sans CJK SC"/>
        <family val="2"/>
      </rPr>
      <t xml:space="preserve">필요하면 단가를 넣으세요</t>
    </r>
    <r>
      <rPr>
        <i val="true"/>
        <sz val="10"/>
        <color rgb="FF555555"/>
        <rFont val="Arial"/>
        <family val="0"/>
        <charset val="1"/>
      </rPr>
      <t xml:space="preserve">.</t>
    </r>
  </si>
  <si>
    <r>
      <rPr>
        <i val="true"/>
        <sz val="10"/>
        <color rgb="FF555555"/>
        <rFont val="Noto Sans CJK SC"/>
        <family val="2"/>
      </rPr>
      <t xml:space="preserve">※ 쌀발효곡물은 양조장 무상 수령을 가정했습니다</t>
    </r>
    <r>
      <rPr>
        <i val="true"/>
        <sz val="10"/>
        <color rgb="FF555555"/>
        <rFont val="Arial"/>
        <family val="0"/>
        <charset val="1"/>
      </rPr>
      <t xml:space="preserve">. </t>
    </r>
    <r>
      <rPr>
        <i val="true"/>
        <sz val="10"/>
        <color rgb="FF555555"/>
        <rFont val="Noto Sans CJK SC"/>
        <family val="2"/>
      </rPr>
      <t xml:space="preserve">유상이면 단가를 넣으세요</t>
    </r>
    <r>
      <rPr>
        <i val="true"/>
        <sz val="10"/>
        <color rgb="FF555555"/>
        <rFont val="Arial"/>
        <family val="0"/>
        <charset val="1"/>
      </rPr>
      <t xml:space="preserve">.</t>
    </r>
  </si>
  <si>
    <r>
      <rPr>
        <b val="true"/>
        <sz val="14"/>
        <rFont val="Arial"/>
        <family val="0"/>
        <charset val="1"/>
      </rPr>
      <t xml:space="preserve">1</t>
    </r>
    <r>
      <rPr>
        <b val="true"/>
        <sz val="14"/>
        <rFont val="Noto Sans CJK SC"/>
        <family val="2"/>
      </rPr>
      <t xml:space="preserve">봉</t>
    </r>
    <r>
      <rPr>
        <b val="true"/>
        <sz val="14"/>
        <rFont val="Arial"/>
        <family val="0"/>
        <charset val="1"/>
      </rPr>
      <t xml:space="preserve">(250g) </t>
    </r>
    <r>
      <rPr>
        <b val="true"/>
        <sz val="14"/>
        <rFont val="Noto Sans CJK SC"/>
        <family val="2"/>
      </rPr>
      <t xml:space="preserve">원가표</t>
    </r>
  </si>
  <si>
    <r>
      <rPr>
        <i val="true"/>
        <sz val="10"/>
        <color rgb="FF555555"/>
        <rFont val="Noto Sans CJK SC"/>
        <family val="2"/>
      </rPr>
      <t xml:space="preserve">재료비는 시제품용 온라인 소매가 기준이라</t>
    </r>
    <r>
      <rPr>
        <i val="true"/>
        <sz val="10"/>
        <color rgb="FF555555"/>
        <rFont val="Arial"/>
        <family val="0"/>
        <charset val="1"/>
      </rPr>
      <t xml:space="preserve">, </t>
    </r>
    <r>
      <rPr>
        <i val="true"/>
        <sz val="10"/>
        <color rgb="FF555555"/>
        <rFont val="Noto Sans CJK SC"/>
        <family val="2"/>
      </rPr>
      <t xml:space="preserve">실제 생산</t>
    </r>
    <r>
      <rPr>
        <i val="true"/>
        <sz val="10"/>
        <color rgb="FF555555"/>
        <rFont val="Arial"/>
        <family val="0"/>
        <charset val="1"/>
      </rPr>
      <t xml:space="preserve">(</t>
    </r>
    <r>
      <rPr>
        <i val="true"/>
        <sz val="10"/>
        <color rgb="FF555555"/>
        <rFont val="Noto Sans CJK SC"/>
        <family val="2"/>
      </rPr>
      <t xml:space="preserve">대량 구매</t>
    </r>
    <r>
      <rPr>
        <i val="true"/>
        <sz val="10"/>
        <color rgb="FF555555"/>
        <rFont val="Arial"/>
        <family val="0"/>
        <charset val="1"/>
      </rPr>
      <t xml:space="preserve">) </t>
    </r>
    <r>
      <rPr>
        <i val="true"/>
        <sz val="10"/>
        <color rgb="FF555555"/>
        <rFont val="Noto Sans CJK SC"/>
        <family val="2"/>
      </rPr>
      <t xml:space="preserve">단가는 더 낮아집니다</t>
    </r>
    <r>
      <rPr>
        <i val="true"/>
        <sz val="10"/>
        <color rgb="FF555555"/>
        <rFont val="Arial"/>
        <family val="0"/>
        <charset val="1"/>
      </rPr>
      <t xml:space="preserve">. </t>
    </r>
    <r>
      <rPr>
        <i val="true"/>
        <sz val="10"/>
        <color rgb="FF555555"/>
        <rFont val="Noto Sans CJK SC"/>
        <family val="2"/>
      </rPr>
      <t xml:space="preserve">노란 칸은 인터뷰</t>
    </r>
    <r>
      <rPr>
        <i val="true"/>
        <sz val="10"/>
        <color rgb="FF555555"/>
        <rFont val="Arial"/>
        <family val="0"/>
        <charset val="1"/>
      </rPr>
      <t xml:space="preserve">·OEM </t>
    </r>
    <r>
      <rPr>
        <i val="true"/>
        <sz val="10"/>
        <color rgb="FF555555"/>
        <rFont val="Noto Sans CJK SC"/>
        <family val="2"/>
      </rPr>
      <t xml:space="preserve">견적 후 채우세요</t>
    </r>
    <r>
      <rPr>
        <i val="true"/>
        <sz val="10"/>
        <color rgb="FF555555"/>
        <rFont val="Arial"/>
        <family val="0"/>
        <charset val="1"/>
      </rPr>
      <t xml:space="preserve">.</t>
    </r>
  </si>
  <si>
    <t xml:space="preserve">항목</t>
  </si>
  <si>
    <r>
      <rPr>
        <b val="true"/>
        <sz val="10"/>
        <color rgb="FFF7F3ED"/>
        <rFont val="Arial"/>
        <family val="0"/>
        <charset val="1"/>
      </rPr>
      <t xml:space="preserve">1</t>
    </r>
    <r>
      <rPr>
        <b val="true"/>
        <sz val="10"/>
        <color rgb="FFF7F3ED"/>
        <rFont val="Noto Sans CJK SC"/>
        <family val="2"/>
      </rPr>
      <t xml:space="preserve">봉 사용량</t>
    </r>
  </si>
  <si>
    <t xml:space="preserve">단위</t>
  </si>
  <si>
    <r>
      <rPr>
        <b val="true"/>
        <sz val="10"/>
        <color rgb="FFF7F3ED"/>
        <rFont val="Noto Sans CJK SC"/>
        <family val="2"/>
      </rPr>
      <t xml:space="preserve">단가 </t>
    </r>
    <r>
      <rPr>
        <b val="true"/>
        <sz val="10"/>
        <color rgb="FFF7F3ED"/>
        <rFont val="Arial"/>
        <family val="0"/>
        <charset val="1"/>
      </rPr>
      <t xml:space="preserve">(</t>
    </r>
    <r>
      <rPr>
        <b val="true"/>
        <sz val="10"/>
        <color rgb="FFF7F3ED"/>
        <rFont val="Noto Sans CJK SC"/>
        <family val="2"/>
      </rPr>
      <t xml:space="preserve">원</t>
    </r>
    <r>
      <rPr>
        <b val="true"/>
        <sz val="10"/>
        <color rgb="FFF7F3ED"/>
        <rFont val="Arial"/>
        <family val="0"/>
        <charset val="1"/>
      </rPr>
      <t xml:space="preserve">/g·</t>
    </r>
    <r>
      <rPr>
        <b val="true"/>
        <sz val="10"/>
        <color rgb="FFF7F3ED"/>
        <rFont val="Noto Sans CJK SC"/>
        <family val="2"/>
      </rPr>
      <t xml:space="preserve">원</t>
    </r>
    <r>
      <rPr>
        <b val="true"/>
        <sz val="10"/>
        <color rgb="FFF7F3ED"/>
        <rFont val="Arial"/>
        <family val="0"/>
        <charset val="1"/>
      </rPr>
      <t xml:space="preserve">/</t>
    </r>
    <r>
      <rPr>
        <b val="true"/>
        <sz val="10"/>
        <color rgb="FFF7F3ED"/>
        <rFont val="Noto Sans CJK SC"/>
        <family val="2"/>
      </rPr>
      <t xml:space="preserve">매</t>
    </r>
    <r>
      <rPr>
        <b val="true"/>
        <sz val="10"/>
        <color rgb="FFF7F3ED"/>
        <rFont val="Arial"/>
        <family val="0"/>
        <charset val="1"/>
      </rPr>
      <t xml:space="preserve">)</t>
    </r>
  </si>
  <si>
    <r>
      <rPr>
        <b val="true"/>
        <sz val="10"/>
        <color rgb="FFF7F3ED"/>
        <rFont val="Arial"/>
        <family val="0"/>
        <charset val="1"/>
      </rPr>
      <t xml:space="preserve">1</t>
    </r>
    <r>
      <rPr>
        <b val="true"/>
        <sz val="10"/>
        <color rgb="FFF7F3ED"/>
        <rFont val="Noto Sans CJK SC"/>
        <family val="2"/>
      </rPr>
      <t xml:space="preserve">봉 비용</t>
    </r>
    <r>
      <rPr>
        <b val="true"/>
        <sz val="10"/>
        <color rgb="FFF7F3ED"/>
        <rFont val="Arial"/>
        <family val="0"/>
        <charset val="1"/>
      </rPr>
      <t xml:space="preserve">(</t>
    </r>
    <r>
      <rPr>
        <b val="true"/>
        <sz val="10"/>
        <color rgb="FFF7F3ED"/>
        <rFont val="Noto Sans CJK SC"/>
        <family val="2"/>
      </rPr>
      <t xml:space="preserve">원</t>
    </r>
    <r>
      <rPr>
        <b val="true"/>
        <sz val="10"/>
        <color rgb="FFF7F3ED"/>
        <rFont val="Arial"/>
        <family val="0"/>
        <charset val="1"/>
      </rPr>
      <t xml:space="preserve">)</t>
    </r>
  </si>
  <si>
    <r>
      <rPr>
        <b val="true"/>
        <sz val="10"/>
        <color rgb="FFF7F3ED"/>
        <rFont val="Noto Sans CJK SC"/>
        <family val="2"/>
      </rPr>
      <t xml:space="preserve">근거</t>
    </r>
    <r>
      <rPr>
        <b val="true"/>
        <sz val="10"/>
        <color rgb="FFF7F3ED"/>
        <rFont val="Arial"/>
        <family val="0"/>
        <charset val="1"/>
      </rPr>
      <t xml:space="preserve">·</t>
    </r>
    <r>
      <rPr>
        <b val="true"/>
        <sz val="10"/>
        <color rgb="FFF7F3ED"/>
        <rFont val="Noto Sans CJK SC"/>
        <family val="2"/>
      </rPr>
      <t xml:space="preserve">비고</t>
    </r>
  </si>
  <si>
    <t xml:space="preserve">g</t>
  </si>
  <si>
    <r>
      <rPr>
        <sz val="10"/>
        <rFont val="Noto Sans CJK SC"/>
        <family val="2"/>
      </rPr>
      <t xml:space="preserve">양조장 무상 가정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유상이면 원</t>
    </r>
    <r>
      <rPr>
        <sz val="10"/>
        <rFont val="Arial"/>
        <family val="0"/>
        <charset val="1"/>
      </rPr>
      <t xml:space="preserve">/g </t>
    </r>
    <r>
      <rPr>
        <sz val="10"/>
        <rFont val="Noto Sans CJK SC"/>
        <family val="2"/>
      </rPr>
      <t xml:space="preserve">입력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인터뷰 후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</si>
  <si>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주문목록 단가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단위 중량</t>
    </r>
  </si>
  <si>
    <r>
      <rPr>
        <sz val="10"/>
        <rFont val="Noto Sans CJK SC"/>
        <family val="2"/>
      </rPr>
      <t xml:space="preserve">보유품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무시 가능한 수준</t>
    </r>
  </si>
  <si>
    <t xml:space="preserve">포장 파우치</t>
  </si>
  <si>
    <t xml:space="preserve">매</t>
  </si>
  <si>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매 묶음 단가</t>
    </r>
  </si>
  <si>
    <t xml:space="preserve">라벨 스티커</t>
  </si>
  <si>
    <r>
      <rPr>
        <b val="true"/>
        <sz val="10"/>
        <rFont val="Noto Sans CJK SC"/>
        <family val="2"/>
      </rPr>
      <t xml:space="preserve">① 재료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포장비 합계</t>
    </r>
  </si>
  <si>
    <r>
      <rPr>
        <b val="true"/>
        <sz val="10"/>
        <rFont val="Noto Sans CJK SC"/>
        <family val="2"/>
      </rPr>
      <t xml:space="preserve">추가 원가 </t>
    </r>
    <r>
      <rPr>
        <b val="true"/>
        <sz val="10"/>
        <rFont val="Arial"/>
        <family val="0"/>
        <charset val="1"/>
      </rPr>
      <t xml:space="preserve">(1</t>
    </r>
    <r>
      <rPr>
        <b val="true"/>
        <sz val="10"/>
        <rFont val="Noto Sans CJK SC"/>
        <family val="2"/>
      </rPr>
      <t xml:space="preserve">봉당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견적</t>
    </r>
    <r>
      <rPr>
        <b val="true"/>
        <sz val="10"/>
        <rFont val="Arial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인터뷰 후 입력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</si>
  <si>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주박 수거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건조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분쇄 가공비</t>
    </r>
  </si>
  <si>
    <t xml:space="preserve">원</t>
  </si>
  <si>
    <r>
      <rPr>
        <sz val="10"/>
        <rFont val="Noto Sans CJK SC"/>
        <family val="2"/>
      </rPr>
      <t xml:space="preserve">양조장 인터뷰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건조 방식 결정 후</t>
    </r>
  </si>
  <si>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제조 위탁비</t>
    </r>
  </si>
  <si>
    <r>
      <rPr>
        <sz val="10"/>
        <rFont val="Arial"/>
        <family val="0"/>
        <charset val="1"/>
      </rPr>
      <t xml:space="preserve">HACCP OEM </t>
    </r>
    <r>
      <rPr>
        <sz val="10"/>
        <rFont val="Noto Sans CJK SC"/>
        <family val="2"/>
      </rPr>
      <t xml:space="preserve">견적</t>
    </r>
  </si>
  <si>
    <r>
      <rPr>
        <sz val="10"/>
        <rFont val="Noto Sans CJK SC"/>
        <family val="2"/>
      </rPr>
      <t xml:space="preserve">물류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배송비</t>
    </r>
  </si>
  <si>
    <r>
      <rPr>
        <sz val="10"/>
        <rFont val="Noto Sans CJK SC"/>
        <family val="2"/>
      </rPr>
      <t xml:space="preserve">택배 계약 단가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봉수</t>
    </r>
  </si>
  <si>
    <r>
      <rPr>
        <sz val="10"/>
        <rFont val="Noto Sans CJK SC"/>
        <family val="2"/>
      </rPr>
      <t xml:space="preserve">품질검사비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자가품질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알코올 검사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</si>
  <si>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검사기관 견적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생산 봉수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법률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규제 검토 ③⑥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</si>
  <si>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판매 수수료율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플랫폼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펀딩</t>
    </r>
    <r>
      <rPr>
        <sz val="10"/>
        <rFont val="Arial"/>
        <family val="0"/>
        <charset val="1"/>
      </rPr>
      <t xml:space="preserve">)</t>
    </r>
  </si>
  <si>
    <t xml:space="preserve">%</t>
  </si>
  <si>
    <r>
      <rPr>
        <sz val="10"/>
        <rFont val="Noto Sans CJK SC"/>
        <family val="2"/>
      </rPr>
      <t xml:space="preserve">판매가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수수료율</t>
    </r>
  </si>
  <si>
    <r>
      <rPr>
        <b val="true"/>
        <sz val="10"/>
        <rFont val="Arial"/>
        <family val="0"/>
        <charset val="1"/>
      </rPr>
      <t xml:space="preserve">② 1</t>
    </r>
    <r>
      <rPr>
        <b val="true"/>
        <sz val="10"/>
        <rFont val="Noto Sans CJK SC"/>
        <family val="2"/>
      </rPr>
      <t xml:space="preserve">봉 총원가</t>
    </r>
  </si>
  <si>
    <r>
      <rPr>
        <sz val="10"/>
        <rFont val="Noto Sans CJK SC"/>
        <family val="2"/>
      </rPr>
      <t xml:space="preserve">빈 노란 칸은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으로 계산됨</t>
    </r>
  </si>
  <si>
    <r>
      <rPr>
        <b val="true"/>
        <sz val="10"/>
        <rFont val="Noto Sans CJK SC"/>
        <family val="2"/>
      </rPr>
      <t xml:space="preserve">판매가 </t>
    </r>
    <r>
      <rPr>
        <b val="true"/>
        <sz val="10"/>
        <rFont val="Arial"/>
        <family val="0"/>
        <charset val="1"/>
      </rPr>
      <t xml:space="preserve">(1</t>
    </r>
    <r>
      <rPr>
        <b val="true"/>
        <sz val="10"/>
        <rFont val="Noto Sans CJK SC"/>
        <family val="2"/>
      </rPr>
      <t xml:space="preserve">봉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잠정</t>
    </r>
    <r>
      <rPr>
        <b val="true"/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</si>
  <si>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재료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포장비 비율</t>
    </r>
  </si>
  <si>
    <r>
      <rPr>
        <sz val="10"/>
        <rFont val="Noto Sans CJK SC"/>
        <family val="2"/>
      </rPr>
      <t xml:space="preserve">매출총이익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판매가 − 총원가</t>
    </r>
    <r>
      <rPr>
        <sz val="10"/>
        <rFont val="Arial"/>
        <family val="0"/>
        <charset val="1"/>
      </rPr>
      <t xml:space="preserve">)</t>
    </r>
  </si>
  <si>
    <t xml:space="preserve">매출총이익률</t>
  </si>
  <si>
    <r>
      <rPr>
        <i val="true"/>
        <sz val="10"/>
        <color rgb="FF555555"/>
        <rFont val="Noto Sans CJK SC"/>
        <family val="2"/>
      </rPr>
      <t xml:space="preserve">※ 노란 칸이 비어 있는 동안의 이익률은 실제보다 높게 나옵니다</t>
    </r>
    <r>
      <rPr>
        <i val="true"/>
        <sz val="10"/>
        <color rgb="FF555555"/>
        <rFont val="Arial"/>
        <family val="0"/>
        <charset val="1"/>
      </rPr>
      <t xml:space="preserve">. </t>
    </r>
    <r>
      <rPr>
        <i val="true"/>
        <sz val="10"/>
        <color rgb="FF555555"/>
        <rFont val="Noto Sans CJK SC"/>
        <family val="2"/>
      </rPr>
      <t xml:space="preserve">발표에는 추가 원가를 채운 뒤의 값을 쓰세요</t>
    </r>
    <r>
      <rPr>
        <i val="true"/>
        <sz val="10"/>
        <color rgb="FF555555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</si>
</sst>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0.0"/>
    <numFmt numFmtId="167" formatCode="0"/>
    <numFmt numFmtId="168" formatCode="0.00"/>
    <numFmt numFmtId="169" formatCode="#,##0;\(#,##0\);\-"/>
    <numFmt numFmtId="170" formatCode="0.0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Arial"/>
      <family val="0"/>
      <charset val="1"/>
    </font>
    <font>
      <b val="true"/>
      <sz val="10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</font>
    <font>
      <i val="true"/>
      <sz val="10"/>
      <color rgb="FF555555"/>
      <name val="Noto Sans CJK SC"/>
      <family val="2"/>
    </font>
    <font>
      <i val="true"/>
      <sz val="10"/>
      <color rgb="FF555555"/>
      <name val="Arial"/>
      <family val="0"/>
      <charset val="1"/>
    </font>
    <font>
      <b val="true"/>
      <sz val="10"/>
      <color rgb="FFF7F3ED"/>
      <name val="Noto Sans CJK SC"/>
      <family val="2"/>
    </font>
    <font>
      <b val="true"/>
      <sz val="10"/>
      <color rgb="FFF7F3ED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A1F17"/>
        <bgColor rgb="FF333333"/>
      </patternFill>
    </fill>
    <fill>
      <patternFill patternType="solid">
        <fgColor rgb="FFEFE7DA"/>
        <bgColor rgb="FFF7F3ED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BBA8"/>
      </left>
      <right style="thin">
        <color rgb="FFC9BBA8"/>
      </right>
      <top style="thin">
        <color rgb="FFC9BBA8"/>
      </top>
      <bottom style="thin">
        <color rgb="FFC9BBA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3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3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7F3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BBA8"/>
      <rgbColor rgb="FF808080"/>
      <rgbColor rgb="FF9999FF"/>
      <rgbColor rgb="FF993366"/>
      <rgbColor rgb="FFEFE7D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2A1F17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0"/>
  </cols>
  <sheetData>
    <row r="1" customFormat="false" ht="21.6" hidden="false" customHeight="fals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s">
        <v>2</v>
      </c>
    </row>
    <row r="4" customFormat="false" ht="30" hidden="false" customHeight="true" outlineLevel="0" collapsed="false">
      <c r="A4" s="2" t="s">
        <v>3</v>
      </c>
      <c r="B4" s="4" t="s">
        <v>4</v>
      </c>
    </row>
    <row r="5" customFormat="false" ht="30" hidden="false" customHeight="true" outlineLevel="0" collapsed="false">
      <c r="A5" s="2" t="s">
        <v>5</v>
      </c>
      <c r="B5" s="4" t="s">
        <v>6</v>
      </c>
    </row>
    <row r="6" customFormat="false" ht="30" hidden="false" customHeight="true" outlineLevel="0" collapsed="false">
      <c r="A6" s="2" t="s">
        <v>7</v>
      </c>
      <c r="B6" s="4" t="s">
        <v>8</v>
      </c>
    </row>
    <row r="7" customFormat="false" ht="30" hidden="false" customHeight="true" outlineLevel="0" collapsed="false">
      <c r="A7" s="2" t="s">
        <v>9</v>
      </c>
      <c r="B7" s="4" t="s">
        <v>10</v>
      </c>
    </row>
    <row r="8" customFormat="false" ht="30" hidden="false" customHeight="true" outlineLevel="0" collapsed="false">
      <c r="A8" s="2" t="s">
        <v>11</v>
      </c>
      <c r="B8" s="4" t="s">
        <v>12</v>
      </c>
    </row>
    <row r="9" customFormat="false" ht="30" hidden="false" customHeight="true" outlineLevel="0" collapsed="false">
      <c r="A9" s="2" t="s">
        <v>13</v>
      </c>
      <c r="B9" s="4" t="s">
        <v>14</v>
      </c>
    </row>
    <row r="10" customFormat="false" ht="30" hidden="false" customHeight="true" outlineLevel="0" collapsed="false">
      <c r="A10" s="2" t="s">
        <v>15</v>
      </c>
      <c r="B10" s="4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20"/>
    <col collapsed="false" customWidth="true" hidden="false" outlineLevel="0" max="4" min="4" style="0" width="52"/>
    <col collapsed="false" customWidth="true" hidden="false" outlineLevel="0" max="5" min="5" style="0" width="20"/>
  </cols>
  <sheetData>
    <row r="1" customFormat="false" ht="21.6" hidden="false" customHeight="false" outlineLevel="0" collapsed="false">
      <c r="A1" s="1" t="s">
        <v>17</v>
      </c>
    </row>
    <row r="2" customFormat="false" ht="15" hidden="false" customHeight="false" outlineLevel="0" collapsed="false">
      <c r="A2" s="5" t="s">
        <v>18</v>
      </c>
    </row>
    <row r="4" customFormat="false" ht="30" hidden="false" customHeight="true" outlineLevel="0" collapsed="false">
      <c r="A4" s="6" t="s">
        <v>19</v>
      </c>
      <c r="B4" s="6" t="s">
        <v>20</v>
      </c>
      <c r="C4" s="7" t="s">
        <v>21</v>
      </c>
      <c r="D4" s="6" t="s">
        <v>22</v>
      </c>
      <c r="E4" s="6" t="s">
        <v>23</v>
      </c>
    </row>
    <row r="5" customFormat="false" ht="15" hidden="false" customHeight="false" outlineLevel="0" collapsed="false">
      <c r="A5" s="8" t="s">
        <v>24</v>
      </c>
      <c r="B5" s="9" t="n">
        <v>0.27</v>
      </c>
      <c r="C5" s="10" t="n">
        <f aca="false">B5*주문목록!$C$4/주문목록!$C$5</f>
        <v>75</v>
      </c>
      <c r="D5" s="11" t="s">
        <v>25</v>
      </c>
      <c r="E5" s="12" t="n">
        <v>0.15</v>
      </c>
    </row>
    <row r="6" customFormat="false" ht="15" hidden="false" customHeight="false" outlineLevel="0" collapsed="false">
      <c r="A6" s="8" t="s">
        <v>26</v>
      </c>
      <c r="B6" s="9" t="n">
        <v>0.317</v>
      </c>
      <c r="C6" s="10" t="n">
        <f aca="false">B6*주문목록!$C$4/주문목록!$C$5</f>
        <v>88.0555555555556</v>
      </c>
      <c r="D6" s="11" t="s">
        <v>27</v>
      </c>
      <c r="E6" s="12" t="n">
        <v>0.5</v>
      </c>
    </row>
    <row r="7" customFormat="false" ht="15" hidden="false" customHeight="false" outlineLevel="0" collapsed="false">
      <c r="A7" s="8" t="s">
        <v>28</v>
      </c>
      <c r="B7" s="9" t="n">
        <v>0.06</v>
      </c>
      <c r="C7" s="10" t="n">
        <f aca="false">B7*주문목록!$C$4/주문목록!$C$5</f>
        <v>16.6666666666667</v>
      </c>
      <c r="D7" s="11" t="s">
        <v>29</v>
      </c>
      <c r="E7" s="13" t="s">
        <v>30</v>
      </c>
    </row>
    <row r="8" customFormat="false" ht="15" hidden="false" customHeight="false" outlineLevel="0" collapsed="false">
      <c r="A8" s="8" t="s">
        <v>31</v>
      </c>
      <c r="B8" s="9" t="n">
        <v>0.05</v>
      </c>
      <c r="C8" s="10" t="n">
        <f aca="false">B8*주문목록!$C$4/주문목록!$C$5</f>
        <v>13.8888888888889</v>
      </c>
      <c r="D8" s="11" t="s">
        <v>32</v>
      </c>
      <c r="E8" s="12" t="s">
        <v>33</v>
      </c>
    </row>
    <row r="9" customFormat="false" ht="15" hidden="false" customHeight="false" outlineLevel="0" collapsed="false">
      <c r="A9" s="8" t="s">
        <v>34</v>
      </c>
      <c r="B9" s="9" t="n">
        <v>0.04</v>
      </c>
      <c r="C9" s="10" t="n">
        <f aca="false">B9*주문목록!$C$4/주문목록!$C$5</f>
        <v>11.1111111111111</v>
      </c>
      <c r="D9" s="11" t="s">
        <v>32</v>
      </c>
      <c r="E9" s="12" t="s">
        <v>33</v>
      </c>
    </row>
    <row r="10" customFormat="false" ht="15" hidden="false" customHeight="false" outlineLevel="0" collapsed="false">
      <c r="A10" s="8" t="s">
        <v>35</v>
      </c>
      <c r="B10" s="9" t="n">
        <v>0.05</v>
      </c>
      <c r="C10" s="10" t="n">
        <f aca="false">B10*주문목록!$C$4/주문목록!$C$5</f>
        <v>13.8888888888889</v>
      </c>
      <c r="D10" s="11" t="s">
        <v>36</v>
      </c>
      <c r="E10" s="12" t="s">
        <v>33</v>
      </c>
    </row>
    <row r="11" customFormat="false" ht="15" hidden="false" customHeight="false" outlineLevel="0" collapsed="false">
      <c r="A11" s="8" t="s">
        <v>37</v>
      </c>
      <c r="B11" s="9" t="n">
        <v>0.16</v>
      </c>
      <c r="C11" s="10" t="n">
        <f aca="false">B11*주문목록!$C$4/주문목록!$C$5</f>
        <v>44.4444444444444</v>
      </c>
      <c r="D11" s="11" t="s">
        <v>38</v>
      </c>
      <c r="E11" s="12" t="n">
        <v>0.15</v>
      </c>
    </row>
    <row r="12" customFormat="false" ht="15" hidden="false" customHeight="false" outlineLevel="0" collapsed="false">
      <c r="A12" s="8" t="s">
        <v>39</v>
      </c>
      <c r="B12" s="9" t="n">
        <v>0.05</v>
      </c>
      <c r="C12" s="10" t="n">
        <f aca="false">B12*주문목록!$C$4/주문목록!$C$5</f>
        <v>13.8888888888889</v>
      </c>
      <c r="D12" s="11" t="s">
        <v>40</v>
      </c>
      <c r="E12" s="12" t="n">
        <v>0.05</v>
      </c>
    </row>
    <row r="13" customFormat="false" ht="15" hidden="false" customHeight="false" outlineLevel="0" collapsed="false">
      <c r="A13" s="8" t="s">
        <v>41</v>
      </c>
      <c r="B13" s="9" t="n">
        <v>0.003</v>
      </c>
      <c r="C13" s="10" t="n">
        <f aca="false">B13*주문목록!$C$4/주문목록!$C$5</f>
        <v>0.833333333333333</v>
      </c>
      <c r="D13" s="11" t="s">
        <v>42</v>
      </c>
      <c r="E13" s="12" t="s">
        <v>33</v>
      </c>
    </row>
    <row r="14" customFormat="false" ht="15" hidden="false" customHeight="false" outlineLevel="0" collapsed="false">
      <c r="A14" s="14" t="s">
        <v>43</v>
      </c>
      <c r="B14" s="15" t="n">
        <f aca="false">SUM(B5:B13)</f>
        <v>1</v>
      </c>
      <c r="C14" s="16" t="n">
        <f aca="false">SUM(C5:C13)</f>
        <v>277.777777777778</v>
      </c>
      <c r="D14" s="17" t="s">
        <v>44</v>
      </c>
      <c r="E14" s="17"/>
    </row>
    <row r="16" customFormat="false" ht="15" hidden="false" customHeight="false" outlineLevel="0" collapsed="false">
      <c r="A16" s="18" t="s">
        <v>45</v>
      </c>
      <c r="B16" s="19" t="n">
        <f aca="false">C5/주문목록!$C$4</f>
        <v>0.3</v>
      </c>
      <c r="C16" s="20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7" topLeftCell="A1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9" min="8" style="0" width="10"/>
    <col collapsed="false" customWidth="true" hidden="false" outlineLevel="0" max="10" min="10" style="0" width="12"/>
    <col collapsed="false" customWidth="true" hidden="false" outlineLevel="0" max="11" min="11" style="0" width="40"/>
    <col collapsed="false" customWidth="true" hidden="false" outlineLevel="0" max="12" min="12" style="0" width="44"/>
  </cols>
  <sheetData>
    <row r="1" customFormat="false" ht="21.6" hidden="false" customHeight="false" outlineLevel="0" collapsed="false">
      <c r="A1" s="1" t="s">
        <v>47</v>
      </c>
    </row>
    <row r="2" customFormat="false" ht="15" hidden="false" customHeight="false" outlineLevel="0" collapsed="false">
      <c r="A2" s="5" t="s">
        <v>48</v>
      </c>
    </row>
    <row r="3" customFormat="false" ht="15" hidden="false" customHeight="false" outlineLevel="0" collapsed="false">
      <c r="B3" s="2" t="s">
        <v>49</v>
      </c>
    </row>
    <row r="4" customFormat="false" ht="15" hidden="false" customHeight="false" outlineLevel="0" collapsed="false">
      <c r="B4" s="21" t="s">
        <v>50</v>
      </c>
      <c r="C4" s="22" t="n">
        <v>250</v>
      </c>
    </row>
    <row r="5" customFormat="false" ht="15" hidden="false" customHeight="false" outlineLevel="0" collapsed="false">
      <c r="B5" s="8" t="s">
        <v>51</v>
      </c>
      <c r="C5" s="9" t="n">
        <v>0.9</v>
      </c>
    </row>
    <row r="6" customFormat="false" ht="15" hidden="false" customHeight="false" outlineLevel="0" collapsed="false">
      <c r="B6" s="8" t="s">
        <v>52</v>
      </c>
      <c r="C6" s="22" t="n">
        <v>3</v>
      </c>
    </row>
    <row r="7" customFormat="false" ht="15" hidden="false" customHeight="false" outlineLevel="0" collapsed="false">
      <c r="B7" s="8" t="s">
        <v>53</v>
      </c>
      <c r="C7" s="23" t="n">
        <v>1</v>
      </c>
    </row>
    <row r="8" customFormat="false" ht="15" hidden="false" customHeight="false" outlineLevel="0" collapsed="false">
      <c r="B8" s="8" t="s">
        <v>54</v>
      </c>
      <c r="C8" s="22" t="n">
        <v>40</v>
      </c>
    </row>
    <row r="9" customFormat="false" ht="15" hidden="false" customHeight="false" outlineLevel="0" collapsed="false">
      <c r="B9" s="21" t="s">
        <v>55</v>
      </c>
      <c r="C9" s="22" t="n">
        <v>30</v>
      </c>
    </row>
    <row r="10" customFormat="false" ht="15" hidden="false" customHeight="false" outlineLevel="0" collapsed="false">
      <c r="B10" s="8" t="s">
        <v>56</v>
      </c>
      <c r="C10" s="22" t="n">
        <v>10</v>
      </c>
    </row>
    <row r="11" customFormat="false" ht="15" hidden="false" customHeight="false" outlineLevel="0" collapsed="false">
      <c r="B11" s="8" t="s">
        <v>57</v>
      </c>
      <c r="C11" s="9" t="n">
        <v>0.1</v>
      </c>
    </row>
    <row r="12" customFormat="false" ht="15" hidden="false" customHeight="false" outlineLevel="0" collapsed="false">
      <c r="B12" s="8" t="s">
        <v>58</v>
      </c>
      <c r="C12" s="9" t="n">
        <v>0.1</v>
      </c>
    </row>
    <row r="14" customFormat="false" ht="15" hidden="false" customHeight="false" outlineLevel="0" collapsed="false">
      <c r="B14" s="18" t="s">
        <v>59</v>
      </c>
      <c r="C14" s="24" t="n">
        <f aca="false">C6*C7+C8*C9/1000+C10*C4/1000</f>
        <v>6.7</v>
      </c>
    </row>
    <row r="15" customFormat="false" ht="15" hidden="false" customHeight="false" outlineLevel="0" collapsed="false">
      <c r="B15" s="18" t="s">
        <v>60</v>
      </c>
      <c r="C15" s="24" t="n">
        <f aca="false">C14/C5*(1+C11)</f>
        <v>8.18888888888889</v>
      </c>
    </row>
    <row r="17" customFormat="false" ht="31.5" hidden="false" customHeight="true" outlineLevel="0" collapsed="false">
      <c r="A17" s="6" t="s">
        <v>61</v>
      </c>
      <c r="B17" s="6" t="s">
        <v>62</v>
      </c>
      <c r="C17" s="6" t="s">
        <v>20</v>
      </c>
      <c r="D17" s="6" t="s">
        <v>63</v>
      </c>
      <c r="E17" s="6" t="s">
        <v>64</v>
      </c>
      <c r="F17" s="6" t="s">
        <v>65</v>
      </c>
      <c r="G17" s="6" t="s">
        <v>66</v>
      </c>
      <c r="H17" s="6" t="s">
        <v>67</v>
      </c>
      <c r="I17" s="6" t="s">
        <v>68</v>
      </c>
      <c r="J17" s="6" t="s">
        <v>69</v>
      </c>
      <c r="K17" s="6" t="s">
        <v>70</v>
      </c>
      <c r="L17" s="6" t="s">
        <v>71</v>
      </c>
    </row>
    <row r="18" customFormat="false" ht="33.75" hidden="false" customHeight="true" outlineLevel="0" collapsed="false">
      <c r="A18" s="8" t="s">
        <v>72</v>
      </c>
      <c r="B18" s="11" t="s">
        <v>24</v>
      </c>
      <c r="C18" s="25" t="n">
        <f aca="false">배합표!B5</f>
        <v>0.27</v>
      </c>
      <c r="D18" s="26" t="n">
        <f aca="false">C18*$C$15</f>
        <v>2.211</v>
      </c>
      <c r="E18" s="8" t="s">
        <v>73</v>
      </c>
      <c r="F18" s="21" t="s">
        <v>33</v>
      </c>
      <c r="G18" s="21" t="s">
        <v>33</v>
      </c>
      <c r="H18" s="27" t="n">
        <v>0</v>
      </c>
      <c r="I18" s="27" t="n">
        <v>0</v>
      </c>
      <c r="J18" s="28" t="n">
        <f aca="false">N(H18)+N(I18)</f>
        <v>0</v>
      </c>
      <c r="K18" s="11" t="s">
        <v>74</v>
      </c>
      <c r="L18" s="11" t="s">
        <v>75</v>
      </c>
    </row>
    <row r="19" customFormat="false" ht="33.75" hidden="false" customHeight="true" outlineLevel="0" collapsed="false">
      <c r="A19" s="8" t="s">
        <v>72</v>
      </c>
      <c r="B19" s="11" t="s">
        <v>26</v>
      </c>
      <c r="C19" s="25" t="n">
        <f aca="false">배합표!B6</f>
        <v>0.317</v>
      </c>
      <c r="D19" s="26" t="n">
        <f aca="false">C19*$C$15</f>
        <v>2.59587777777778</v>
      </c>
      <c r="E19" s="21" t="s">
        <v>76</v>
      </c>
      <c r="F19" s="29" t="n">
        <v>1</v>
      </c>
      <c r="G19" s="30" t="n">
        <f aca="false">ROUNDUP(D19/F19,0)</f>
        <v>3</v>
      </c>
      <c r="H19" s="27" t="n">
        <v>7900</v>
      </c>
      <c r="I19" s="27" t="n">
        <v>3000</v>
      </c>
      <c r="J19" s="28" t="n">
        <f aca="false">G19*N(H19)+N(I19)</f>
        <v>26700</v>
      </c>
      <c r="K19" s="31" t="s">
        <v>77</v>
      </c>
      <c r="L19" s="11" t="s">
        <v>78</v>
      </c>
    </row>
    <row r="20" customFormat="false" ht="33.75" hidden="false" customHeight="true" outlineLevel="0" collapsed="false">
      <c r="A20" s="8" t="s">
        <v>72</v>
      </c>
      <c r="B20" s="11" t="s">
        <v>28</v>
      </c>
      <c r="C20" s="25" t="n">
        <f aca="false">배합표!B7</f>
        <v>0.06</v>
      </c>
      <c r="D20" s="26" t="n">
        <f aca="false">C20*$C$15</f>
        <v>0.491333333333333</v>
      </c>
      <c r="E20" s="21" t="s">
        <v>79</v>
      </c>
      <c r="F20" s="29" t="n">
        <v>1</v>
      </c>
      <c r="G20" s="30" t="n">
        <f aca="false">ROUNDUP(D20/F20,0)</f>
        <v>1</v>
      </c>
      <c r="H20" s="27" t="n">
        <v>16900</v>
      </c>
      <c r="I20" s="27" t="n">
        <v>0</v>
      </c>
      <c r="J20" s="28" t="n">
        <f aca="false">G20*N(H20)+N(I20)</f>
        <v>16900</v>
      </c>
      <c r="K20" s="31" t="s">
        <v>80</v>
      </c>
      <c r="L20" s="11" t="s">
        <v>81</v>
      </c>
    </row>
    <row r="21" customFormat="false" ht="33.75" hidden="false" customHeight="true" outlineLevel="0" collapsed="false">
      <c r="A21" s="8" t="s">
        <v>72</v>
      </c>
      <c r="B21" s="11" t="s">
        <v>31</v>
      </c>
      <c r="C21" s="25" t="n">
        <f aca="false">배합표!B8</f>
        <v>0.05</v>
      </c>
      <c r="D21" s="26" t="n">
        <f aca="false">C21*$C$15</f>
        <v>0.409444444444445</v>
      </c>
      <c r="E21" s="21" t="s">
        <v>79</v>
      </c>
      <c r="F21" s="29" t="n">
        <v>1</v>
      </c>
      <c r="G21" s="30" t="n">
        <f aca="false">ROUNDUP(D21/F21,0)</f>
        <v>1</v>
      </c>
      <c r="H21" s="27" t="n">
        <v>9800</v>
      </c>
      <c r="I21" s="27" t="n">
        <v>0</v>
      </c>
      <c r="J21" s="28" t="n">
        <f aca="false">G21*N(H21)+N(I21)</f>
        <v>9800</v>
      </c>
      <c r="K21" s="31" t="s">
        <v>82</v>
      </c>
      <c r="L21" s="11" t="s">
        <v>81</v>
      </c>
    </row>
    <row r="22" customFormat="false" ht="33.75" hidden="false" customHeight="true" outlineLevel="0" collapsed="false">
      <c r="A22" s="8" t="s">
        <v>72</v>
      </c>
      <c r="B22" s="11" t="s">
        <v>83</v>
      </c>
      <c r="C22" s="25" t="n">
        <f aca="false">배합표!B9</f>
        <v>0.04</v>
      </c>
      <c r="D22" s="26" t="n">
        <f aca="false">C22*$C$15</f>
        <v>0.327555555555556</v>
      </c>
      <c r="E22" s="21" t="s">
        <v>84</v>
      </c>
      <c r="F22" s="29" t="n">
        <v>0.5</v>
      </c>
      <c r="G22" s="30" t="n">
        <f aca="false">ROUNDUP(D22/F22,0)</f>
        <v>1</v>
      </c>
      <c r="H22" s="27" t="n">
        <v>3640</v>
      </c>
      <c r="I22" s="27" t="n">
        <v>3000</v>
      </c>
      <c r="J22" s="28" t="n">
        <f aca="false">G22*N(H22)+N(I22)</f>
        <v>6640</v>
      </c>
      <c r="K22" s="31" t="s">
        <v>85</v>
      </c>
      <c r="L22" s="11" t="s">
        <v>86</v>
      </c>
    </row>
    <row r="23" customFormat="false" ht="33.75" hidden="false" customHeight="true" outlineLevel="0" collapsed="false">
      <c r="A23" s="8" t="s">
        <v>72</v>
      </c>
      <c r="B23" s="11" t="s">
        <v>35</v>
      </c>
      <c r="C23" s="25" t="n">
        <f aca="false">배합표!B10</f>
        <v>0.05</v>
      </c>
      <c r="D23" s="26" t="n">
        <f aca="false">C23*$C$15</f>
        <v>0.409444444444445</v>
      </c>
      <c r="E23" s="21" t="s">
        <v>79</v>
      </c>
      <c r="F23" s="29" t="n">
        <v>1</v>
      </c>
      <c r="G23" s="30" t="n">
        <f aca="false">ROUNDUP(D23/F23,0)</f>
        <v>1</v>
      </c>
      <c r="H23" s="27" t="n">
        <v>9900</v>
      </c>
      <c r="I23" s="27" t="n">
        <v>0</v>
      </c>
      <c r="J23" s="28" t="n">
        <f aca="false">G23*N(H23)+N(I23)</f>
        <v>9900</v>
      </c>
      <c r="K23" s="31" t="s">
        <v>87</v>
      </c>
      <c r="L23" s="11" t="s">
        <v>81</v>
      </c>
    </row>
    <row r="24" customFormat="false" ht="33.75" hidden="false" customHeight="true" outlineLevel="0" collapsed="false">
      <c r="A24" s="8" t="s">
        <v>72</v>
      </c>
      <c r="B24" s="11" t="s">
        <v>37</v>
      </c>
      <c r="C24" s="25" t="n">
        <f aca="false">배합표!B11</f>
        <v>0.16</v>
      </c>
      <c r="D24" s="26" t="n">
        <f aca="false">C24*$C$15</f>
        <v>1.31022222222222</v>
      </c>
      <c r="E24" s="21" t="s">
        <v>88</v>
      </c>
      <c r="F24" s="29" t="n">
        <v>1.2</v>
      </c>
      <c r="G24" s="30" t="n">
        <f aca="false">ROUNDUP(D24/F24,0)</f>
        <v>2</v>
      </c>
      <c r="H24" s="27" t="n">
        <v>7170</v>
      </c>
      <c r="I24" s="27" t="n">
        <v>0</v>
      </c>
      <c r="J24" s="28" t="n">
        <f aca="false">G24*N(H24)+N(I24)</f>
        <v>14340</v>
      </c>
      <c r="K24" s="31" t="s">
        <v>89</v>
      </c>
      <c r="L24" s="11" t="s">
        <v>90</v>
      </c>
    </row>
    <row r="25" customFormat="false" ht="33.75" hidden="false" customHeight="true" outlineLevel="0" collapsed="false">
      <c r="A25" s="8" t="s">
        <v>72</v>
      </c>
      <c r="B25" s="11" t="s">
        <v>39</v>
      </c>
      <c r="C25" s="25" t="n">
        <f aca="false">배합표!B12</f>
        <v>0.05</v>
      </c>
      <c r="D25" s="26" t="n">
        <f aca="false">C25*$C$15</f>
        <v>0.409444444444445</v>
      </c>
      <c r="E25" s="21" t="s">
        <v>91</v>
      </c>
      <c r="F25" s="29" t="n">
        <v>0.46</v>
      </c>
      <c r="G25" s="30" t="n">
        <f aca="false">ROUNDUP(D25/F25,0)</f>
        <v>1</v>
      </c>
      <c r="H25" s="27" t="n">
        <v>5330</v>
      </c>
      <c r="I25" s="27" t="n">
        <v>3000</v>
      </c>
      <c r="J25" s="28" t="n">
        <f aca="false">G25*N(H25)+N(I25)</f>
        <v>8330</v>
      </c>
      <c r="K25" s="31" t="s">
        <v>92</v>
      </c>
      <c r="L25" s="31" t="s">
        <v>93</v>
      </c>
    </row>
    <row r="26" customFormat="false" ht="33.75" hidden="false" customHeight="true" outlineLevel="0" collapsed="false">
      <c r="A26" s="8" t="s">
        <v>72</v>
      </c>
      <c r="B26" s="11" t="s">
        <v>41</v>
      </c>
      <c r="C26" s="25" t="n">
        <f aca="false">배합표!B13</f>
        <v>0.003</v>
      </c>
      <c r="D26" s="26" t="n">
        <f aca="false">C26*$C$15</f>
        <v>0.0245666666666667</v>
      </c>
      <c r="E26" s="8" t="s">
        <v>94</v>
      </c>
      <c r="F26" s="21" t="s">
        <v>33</v>
      </c>
      <c r="G26" s="21" t="s">
        <v>33</v>
      </c>
      <c r="H26" s="27" t="n">
        <v>0</v>
      </c>
      <c r="I26" s="27" t="n">
        <v>0</v>
      </c>
      <c r="J26" s="28" t="n">
        <f aca="false">N(H26)+N(I26)</f>
        <v>0</v>
      </c>
      <c r="K26" s="31"/>
      <c r="L26" s="11" t="s">
        <v>95</v>
      </c>
    </row>
    <row r="27" customFormat="false" ht="33.75" hidden="false" customHeight="true" outlineLevel="0" collapsed="false">
      <c r="A27" s="8" t="s">
        <v>96</v>
      </c>
      <c r="B27" s="11" t="s">
        <v>97</v>
      </c>
      <c r="C27" s="21" t="s">
        <v>33</v>
      </c>
      <c r="D27" s="29" t="n">
        <v>1</v>
      </c>
      <c r="E27" s="21" t="s">
        <v>79</v>
      </c>
      <c r="F27" s="29" t="n">
        <v>1</v>
      </c>
      <c r="G27" s="30" t="n">
        <f aca="false">ROUNDUP(D27/F27,0)</f>
        <v>1</v>
      </c>
      <c r="H27" s="32"/>
      <c r="I27" s="32"/>
      <c r="J27" s="28" t="n">
        <f aca="false">G27*N(H27)+N(I27)</f>
        <v>0</v>
      </c>
      <c r="K27" s="11" t="s">
        <v>98</v>
      </c>
      <c r="L27" s="11" t="s">
        <v>99</v>
      </c>
    </row>
    <row r="28" customFormat="false" ht="33.75" hidden="false" customHeight="true" outlineLevel="0" collapsed="false">
      <c r="A28" s="8" t="s">
        <v>100</v>
      </c>
      <c r="B28" s="11" t="s">
        <v>101</v>
      </c>
      <c r="C28" s="21" t="s">
        <v>33</v>
      </c>
      <c r="D28" s="30" t="n">
        <f aca="false">C10+5</f>
        <v>15</v>
      </c>
      <c r="E28" s="21" t="s">
        <v>102</v>
      </c>
      <c r="F28" s="22" t="n">
        <v>100</v>
      </c>
      <c r="G28" s="30" t="n">
        <f aca="false">ROUNDUP(D28/F28,0)</f>
        <v>1</v>
      </c>
      <c r="H28" s="27" t="n">
        <v>19600</v>
      </c>
      <c r="I28" s="27" t="n">
        <v>3000</v>
      </c>
      <c r="J28" s="28" t="n">
        <f aca="false">G28*N(H28)+N(I28)</f>
        <v>22600</v>
      </c>
      <c r="K28" s="31" t="s">
        <v>103</v>
      </c>
      <c r="L28" s="31" t="s">
        <v>104</v>
      </c>
    </row>
    <row r="29" customFormat="false" ht="33.75" hidden="false" customHeight="true" outlineLevel="0" collapsed="false">
      <c r="A29" s="8" t="s">
        <v>100</v>
      </c>
      <c r="B29" s="11" t="s">
        <v>105</v>
      </c>
      <c r="C29" s="21" t="s">
        <v>33</v>
      </c>
      <c r="D29" s="30" t="n">
        <f aca="false">C8</f>
        <v>40</v>
      </c>
      <c r="E29" s="21" t="s">
        <v>102</v>
      </c>
      <c r="F29" s="22" t="n">
        <v>100</v>
      </c>
      <c r="G29" s="30" t="n">
        <f aca="false">ROUNDUP(D29/F29,0)</f>
        <v>1</v>
      </c>
      <c r="H29" s="27" t="n">
        <v>11500</v>
      </c>
      <c r="I29" s="27" t="n">
        <v>0</v>
      </c>
      <c r="J29" s="28" t="n">
        <f aca="false">G29*N(H29)+N(I29)</f>
        <v>11500</v>
      </c>
      <c r="K29" s="31" t="s">
        <v>106</v>
      </c>
      <c r="L29" s="11" t="s">
        <v>107</v>
      </c>
    </row>
    <row r="30" customFormat="false" ht="33.75" hidden="false" customHeight="true" outlineLevel="0" collapsed="false">
      <c r="A30" s="8" t="s">
        <v>108</v>
      </c>
      <c r="B30" s="11" t="s">
        <v>109</v>
      </c>
      <c r="C30" s="21" t="s">
        <v>33</v>
      </c>
      <c r="D30" s="22" t="n">
        <v>1</v>
      </c>
      <c r="E30" s="21" t="s">
        <v>110</v>
      </c>
      <c r="F30" s="29" t="n">
        <v>1</v>
      </c>
      <c r="G30" s="30" t="n">
        <f aca="false">ROUNDUP(D30/F30,0)</f>
        <v>1</v>
      </c>
      <c r="H30" s="27" t="n">
        <v>6490</v>
      </c>
      <c r="I30" s="27" t="n">
        <v>3000</v>
      </c>
      <c r="J30" s="28" t="n">
        <f aca="false">G30*N(H30)+N(I30)</f>
        <v>9490</v>
      </c>
      <c r="K30" s="31" t="s">
        <v>111</v>
      </c>
      <c r="L30" s="11" t="s">
        <v>112</v>
      </c>
    </row>
    <row r="31" customFormat="false" ht="33.75" hidden="false" customHeight="true" outlineLevel="0" collapsed="false">
      <c r="A31" s="8" t="s">
        <v>108</v>
      </c>
      <c r="B31" s="11" t="s">
        <v>113</v>
      </c>
      <c r="C31" s="21" t="s">
        <v>33</v>
      </c>
      <c r="D31" s="21" t="s">
        <v>33</v>
      </c>
      <c r="E31" s="21" t="s">
        <v>33</v>
      </c>
      <c r="F31" s="21" t="s">
        <v>33</v>
      </c>
      <c r="G31" s="21" t="s">
        <v>33</v>
      </c>
      <c r="H31" s="32"/>
      <c r="I31" s="32"/>
      <c r="J31" s="28" t="n">
        <f aca="false">N(H31)+N(I31)</f>
        <v>0</v>
      </c>
      <c r="K31" s="11" t="s">
        <v>114</v>
      </c>
      <c r="L31" s="11" t="s">
        <v>115</v>
      </c>
    </row>
    <row r="32" customFormat="false" ht="15" hidden="false" customHeight="false" outlineLevel="0" collapsed="false">
      <c r="I32" s="14" t="s">
        <v>116</v>
      </c>
      <c r="J32" s="33" t="n">
        <f aca="false">SUM(J18:J31)</f>
        <v>136200</v>
      </c>
    </row>
    <row r="33" customFormat="false" ht="15" hidden="false" customHeight="false" outlineLevel="0" collapsed="false">
      <c r="I33" s="14" t="s">
        <v>117</v>
      </c>
      <c r="J33" s="33" t="n">
        <f aca="false">J32*C12</f>
        <v>13620</v>
      </c>
    </row>
    <row r="34" customFormat="false" ht="15" hidden="false" customHeight="false" outlineLevel="0" collapsed="false">
      <c r="I34" s="14" t="s">
        <v>118</v>
      </c>
      <c r="J34" s="34" t="n">
        <f aca="false">ROUNDUP(J32+J33,-3)</f>
        <v>150000</v>
      </c>
      <c r="K34" s="5" t="s">
        <v>119</v>
      </c>
    </row>
    <row r="36" customFormat="false" ht="15" hidden="false" customHeight="false" outlineLevel="0" collapsed="false">
      <c r="A36" s="5" t="s">
        <v>120</v>
      </c>
    </row>
    <row r="37" customFormat="false" ht="15" hidden="false" customHeight="false" outlineLevel="0" collapsed="false">
      <c r="A37" s="5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52"/>
  </cols>
  <sheetData>
    <row r="1" customFormat="false" ht="21.6" hidden="false" customHeight="false" outlineLevel="0" collapsed="false">
      <c r="A1" s="35" t="s">
        <v>122</v>
      </c>
    </row>
    <row r="2" customFormat="false" ht="15" hidden="false" customHeight="false" outlineLevel="0" collapsed="false">
      <c r="A2" s="5" t="s">
        <v>123</v>
      </c>
    </row>
    <row r="4" customFormat="false" ht="30" hidden="false" customHeight="true" outlineLevel="0" collapsed="false">
      <c r="A4" s="6" t="s">
        <v>124</v>
      </c>
      <c r="B4" s="7" t="s">
        <v>125</v>
      </c>
      <c r="C4" s="6" t="s">
        <v>126</v>
      </c>
      <c r="D4" s="6" t="s">
        <v>127</v>
      </c>
      <c r="E4" s="7" t="s">
        <v>128</v>
      </c>
      <c r="F4" s="6" t="s">
        <v>129</v>
      </c>
    </row>
    <row r="5" customFormat="false" ht="15" hidden="false" customHeight="false" outlineLevel="0" collapsed="false">
      <c r="A5" s="8" t="s">
        <v>24</v>
      </c>
      <c r="B5" s="36" t="n">
        <f aca="false">배합표!C5</f>
        <v>75</v>
      </c>
      <c r="C5" s="21" t="s">
        <v>130</v>
      </c>
      <c r="D5" s="37" t="n">
        <v>0</v>
      </c>
      <c r="E5" s="28" t="n">
        <f aca="false">B5*D5</f>
        <v>0</v>
      </c>
      <c r="F5" s="11" t="s">
        <v>131</v>
      </c>
    </row>
    <row r="6" customFormat="false" ht="15" hidden="false" customHeight="false" outlineLevel="0" collapsed="false">
      <c r="A6" s="8" t="s">
        <v>26</v>
      </c>
      <c r="B6" s="36" t="n">
        <f aca="false">배합표!C6</f>
        <v>88.0555555555556</v>
      </c>
      <c r="C6" s="21" t="s">
        <v>130</v>
      </c>
      <c r="D6" s="38" t="n">
        <f aca="false">주문목록!H19/(주문목록!F19*1000)</f>
        <v>7.9</v>
      </c>
      <c r="E6" s="28" t="n">
        <f aca="false">B6*D6</f>
        <v>695.638888888889</v>
      </c>
      <c r="F6" s="8" t="s">
        <v>132</v>
      </c>
    </row>
    <row r="7" customFormat="false" ht="15" hidden="false" customHeight="false" outlineLevel="0" collapsed="false">
      <c r="A7" s="8" t="s">
        <v>28</v>
      </c>
      <c r="B7" s="36" t="n">
        <f aca="false">배합표!C7</f>
        <v>16.6666666666667</v>
      </c>
      <c r="C7" s="21" t="s">
        <v>130</v>
      </c>
      <c r="D7" s="38" t="n">
        <f aca="false">주문목록!H20/(주문목록!F20*1000)</f>
        <v>16.9</v>
      </c>
      <c r="E7" s="28" t="n">
        <f aca="false">B7*D7</f>
        <v>281.666666666667</v>
      </c>
      <c r="F7" s="8" t="s">
        <v>132</v>
      </c>
    </row>
    <row r="8" customFormat="false" ht="15" hidden="false" customHeight="false" outlineLevel="0" collapsed="false">
      <c r="A8" s="8" t="s">
        <v>31</v>
      </c>
      <c r="B8" s="36" t="n">
        <f aca="false">배합표!C8</f>
        <v>13.8888888888889</v>
      </c>
      <c r="C8" s="21" t="s">
        <v>130</v>
      </c>
      <c r="D8" s="38" t="n">
        <f aca="false">주문목록!H21/(주문목록!F21*1000)</f>
        <v>9.8</v>
      </c>
      <c r="E8" s="28" t="n">
        <f aca="false">B8*D8</f>
        <v>136.111111111111</v>
      </c>
      <c r="F8" s="8" t="s">
        <v>132</v>
      </c>
    </row>
    <row r="9" customFormat="false" ht="15" hidden="false" customHeight="false" outlineLevel="0" collapsed="false">
      <c r="A9" s="8" t="s">
        <v>34</v>
      </c>
      <c r="B9" s="36" t="n">
        <f aca="false">배합표!C9</f>
        <v>11.1111111111111</v>
      </c>
      <c r="C9" s="21" t="s">
        <v>130</v>
      </c>
      <c r="D9" s="38" t="n">
        <f aca="false">주문목록!H22/(주문목록!F22*1000)</f>
        <v>7.28</v>
      </c>
      <c r="E9" s="28" t="n">
        <f aca="false">B9*D9</f>
        <v>80.8888888888889</v>
      </c>
      <c r="F9" s="8" t="s">
        <v>132</v>
      </c>
    </row>
    <row r="10" customFormat="false" ht="15" hidden="false" customHeight="false" outlineLevel="0" collapsed="false">
      <c r="A10" s="8" t="s">
        <v>35</v>
      </c>
      <c r="B10" s="36" t="n">
        <f aca="false">배합표!C10</f>
        <v>13.8888888888889</v>
      </c>
      <c r="C10" s="21" t="s">
        <v>130</v>
      </c>
      <c r="D10" s="38" t="n">
        <f aca="false">주문목록!H23/(주문목록!F23*1000)</f>
        <v>9.9</v>
      </c>
      <c r="E10" s="28" t="n">
        <f aca="false">B10*D10</f>
        <v>137.5</v>
      </c>
      <c r="F10" s="8" t="s">
        <v>132</v>
      </c>
    </row>
    <row r="11" customFormat="false" ht="15" hidden="false" customHeight="false" outlineLevel="0" collapsed="false">
      <c r="A11" s="8" t="s">
        <v>37</v>
      </c>
      <c r="B11" s="36" t="n">
        <f aca="false">배합표!C11</f>
        <v>44.4444444444444</v>
      </c>
      <c r="C11" s="21" t="s">
        <v>130</v>
      </c>
      <c r="D11" s="38" t="n">
        <f aca="false">주문목록!H24/(주문목록!F24*1000)</f>
        <v>5.975</v>
      </c>
      <c r="E11" s="28" t="n">
        <f aca="false">B11*D11</f>
        <v>265.555555555556</v>
      </c>
      <c r="F11" s="8" t="s">
        <v>132</v>
      </c>
    </row>
    <row r="12" customFormat="false" ht="15" hidden="false" customHeight="false" outlineLevel="0" collapsed="false">
      <c r="A12" s="8" t="s">
        <v>39</v>
      </c>
      <c r="B12" s="36" t="n">
        <f aca="false">배합표!C12</f>
        <v>13.8888888888889</v>
      </c>
      <c r="C12" s="21" t="s">
        <v>130</v>
      </c>
      <c r="D12" s="38" t="n">
        <f aca="false">주문목록!H25/(주문목록!F25*1000)</f>
        <v>11.5869565217391</v>
      </c>
      <c r="E12" s="28" t="n">
        <f aca="false">B12*D12</f>
        <v>160.929951690821</v>
      </c>
      <c r="F12" s="8" t="s">
        <v>132</v>
      </c>
    </row>
    <row r="13" customFormat="false" ht="15" hidden="false" customHeight="false" outlineLevel="0" collapsed="false">
      <c r="A13" s="8" t="s">
        <v>41</v>
      </c>
      <c r="B13" s="36" t="n">
        <f aca="false">배합표!C13</f>
        <v>0.833333333333333</v>
      </c>
      <c r="C13" s="21" t="s">
        <v>130</v>
      </c>
      <c r="D13" s="39" t="n">
        <v>0.001</v>
      </c>
      <c r="E13" s="28" t="n">
        <f aca="false">B13*D13</f>
        <v>0.000833333333333333</v>
      </c>
      <c r="F13" s="8" t="s">
        <v>133</v>
      </c>
    </row>
    <row r="14" customFormat="false" ht="15" hidden="false" customHeight="false" outlineLevel="0" collapsed="false">
      <c r="A14" s="8" t="s">
        <v>134</v>
      </c>
      <c r="B14" s="22" t="n">
        <v>1</v>
      </c>
      <c r="C14" s="8" t="s">
        <v>135</v>
      </c>
      <c r="D14" s="40" t="n">
        <f aca="false">주문목록!H28/주문목록!F28</f>
        <v>196</v>
      </c>
      <c r="E14" s="28" t="n">
        <f aca="false">B14*D14</f>
        <v>196</v>
      </c>
      <c r="F14" s="21" t="s">
        <v>136</v>
      </c>
    </row>
    <row r="15" customFormat="false" ht="15" hidden="false" customHeight="false" outlineLevel="0" collapsed="false">
      <c r="A15" s="8" t="s">
        <v>137</v>
      </c>
      <c r="B15" s="22" t="n">
        <v>1</v>
      </c>
      <c r="C15" s="8" t="s">
        <v>135</v>
      </c>
      <c r="D15" s="32"/>
      <c r="E15" s="28" t="n">
        <f aca="false">B15*N(D15)</f>
        <v>0</v>
      </c>
      <c r="F15" s="8" t="s">
        <v>98</v>
      </c>
    </row>
    <row r="16" customFormat="false" ht="15" hidden="false" customHeight="false" outlineLevel="0" collapsed="false">
      <c r="A16" s="14" t="s">
        <v>138</v>
      </c>
      <c r="B16" s="17"/>
      <c r="C16" s="17"/>
      <c r="D16" s="17"/>
      <c r="E16" s="33" t="n">
        <f aca="false">SUM(E5:E15)</f>
        <v>1954.29189613527</v>
      </c>
      <c r="F16" s="17"/>
    </row>
    <row r="17" customFormat="false" ht="15" hidden="false" customHeight="false" outlineLevel="0" collapsed="false">
      <c r="A17" s="18" t="s">
        <v>139</v>
      </c>
    </row>
    <row r="18" customFormat="false" ht="15" hidden="false" customHeight="false" outlineLevel="0" collapsed="false">
      <c r="A18" s="8" t="s">
        <v>140</v>
      </c>
      <c r="B18" s="21"/>
      <c r="C18" s="8" t="s">
        <v>141</v>
      </c>
      <c r="D18" s="21"/>
      <c r="E18" s="32"/>
      <c r="F18" s="11" t="s">
        <v>142</v>
      </c>
    </row>
    <row r="19" customFormat="false" ht="15" hidden="false" customHeight="false" outlineLevel="0" collapsed="false">
      <c r="A19" s="21" t="s">
        <v>143</v>
      </c>
      <c r="B19" s="21"/>
      <c r="C19" s="8" t="s">
        <v>141</v>
      </c>
      <c r="D19" s="21"/>
      <c r="E19" s="32"/>
      <c r="F19" s="31" t="s">
        <v>144</v>
      </c>
    </row>
    <row r="20" customFormat="false" ht="15" hidden="false" customHeight="false" outlineLevel="0" collapsed="false">
      <c r="A20" s="8" t="s">
        <v>145</v>
      </c>
      <c r="B20" s="21"/>
      <c r="C20" s="8" t="s">
        <v>141</v>
      </c>
      <c r="D20" s="21"/>
      <c r="E20" s="32"/>
      <c r="F20" s="11" t="s">
        <v>146</v>
      </c>
    </row>
    <row r="21" customFormat="false" ht="15" hidden="false" customHeight="false" outlineLevel="0" collapsed="false">
      <c r="A21" s="8" t="s">
        <v>147</v>
      </c>
      <c r="B21" s="21"/>
      <c r="C21" s="8" t="s">
        <v>141</v>
      </c>
      <c r="D21" s="21"/>
      <c r="E21" s="32"/>
      <c r="F21" s="11" t="s">
        <v>148</v>
      </c>
    </row>
    <row r="22" customFormat="false" ht="15" hidden="false" customHeight="false" outlineLevel="0" collapsed="false">
      <c r="A22" s="8" t="s">
        <v>149</v>
      </c>
      <c r="B22" s="21"/>
      <c r="C22" s="21" t="s">
        <v>150</v>
      </c>
      <c r="D22" s="41"/>
      <c r="E22" s="28" t="n">
        <f aca="false">N(D22)*$B$25</f>
        <v>0</v>
      </c>
      <c r="F22" s="8" t="s">
        <v>151</v>
      </c>
    </row>
    <row r="23" customFormat="false" ht="15" hidden="false" customHeight="false" outlineLevel="0" collapsed="false">
      <c r="A23" s="42" t="s">
        <v>152</v>
      </c>
      <c r="B23" s="17"/>
      <c r="C23" s="17"/>
      <c r="D23" s="17"/>
      <c r="E23" s="33" t="n">
        <f aca="false">E16+SUM(E18:E22)</f>
        <v>1954.29189613527</v>
      </c>
      <c r="F23" s="43" t="s">
        <v>153</v>
      </c>
    </row>
    <row r="25" customFormat="false" ht="15" hidden="false" customHeight="false" outlineLevel="0" collapsed="false">
      <c r="A25" s="18" t="s">
        <v>154</v>
      </c>
      <c r="B25" s="27" t="n">
        <v>8900</v>
      </c>
      <c r="C25" s="8" t="s">
        <v>141</v>
      </c>
    </row>
    <row r="26" customFormat="false" ht="15" hidden="false" customHeight="false" outlineLevel="0" collapsed="false">
      <c r="A26" s="8" t="s">
        <v>155</v>
      </c>
      <c r="B26" s="12" t="n">
        <f aca="false">IF(B25=0,0,E16/B25)</f>
        <v>0.219583359116322</v>
      </c>
    </row>
    <row r="27" customFormat="false" ht="15" hidden="false" customHeight="false" outlineLevel="0" collapsed="false">
      <c r="A27" s="8" t="s">
        <v>156</v>
      </c>
      <c r="B27" s="28" t="n">
        <f aca="false">B25-E23</f>
        <v>6945.70810386473</v>
      </c>
    </row>
    <row r="28" customFormat="false" ht="15" hidden="false" customHeight="false" outlineLevel="0" collapsed="false">
      <c r="A28" s="18" t="s">
        <v>157</v>
      </c>
      <c r="B28" s="19" t="n">
        <f aca="false">IF(B25=0,0,(B25-E23)/B25)</f>
        <v>0.780416640883678</v>
      </c>
    </row>
    <row r="30" customFormat="false" ht="15" hidden="false" customHeight="false" outlineLevel="0" collapsed="false">
      <c r="A30" s="5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2026-10-03T13:29:59Z</dcterms:created>
  <dc:creator>openpyxl</dc:creator>
  <dc:description/>
  <dc:language>en-US</dc:language>
  <cp:lastModifiedBy/>
  <dcterms:modified xsi:type="dcterms:W3CDTF">2026-10-03T13:29:59Z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